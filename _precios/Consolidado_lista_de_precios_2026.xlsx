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capel/Library/CloudStorage/GoogleDrive-garcia.persi@gmail.com/Mi unidad/KPL_BRANDING/Clientes/Devas/Lista de precios Devas/"/>
    </mc:Choice>
  </mc:AlternateContent>
  <xr:revisionPtr revIDLastSave="0" documentId="8_{1C6FBF16-5606-7A4E-8482-48BE6B67FB67}" xr6:coauthVersionLast="47" xr6:coauthVersionMax="47" xr10:uidLastSave="{00000000-0000-0000-0000-000000000000}"/>
  <bookViews>
    <workbookView xWindow="30240" yWindow="600" windowWidth="38400" windowHeight="21000" xr2:uid="{D00E1555-C86F-3B4A-977B-981CA6DD5DC0}"/>
  </bookViews>
  <sheets>
    <sheet name="CONSOLIDADO" sheetId="9" r:id="rId1"/>
    <sheet name="VELONES" sheetId="10" r:id="rId2"/>
    <sheet name="DECORADOS" sheetId="11" r:id="rId3"/>
    <sheet name="IMPRESOS" sheetId="12" r:id="rId4"/>
    <sheet name="VELONES BANQUETERÍA" sheetId="1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3" l="1"/>
  <c r="E22" i="13" s="1"/>
  <c r="D19" i="13"/>
  <c r="E19" i="13" s="1"/>
  <c r="D17" i="13"/>
  <c r="E17" i="13" s="1"/>
  <c r="D16" i="13"/>
  <c r="E16" i="13" s="1"/>
  <c r="D15" i="13"/>
  <c r="E15" i="13" s="1"/>
  <c r="D13" i="13"/>
  <c r="E13" i="13" s="1"/>
  <c r="D12" i="13"/>
  <c r="E12" i="13" s="1"/>
  <c r="D11" i="13"/>
  <c r="E11" i="13" s="1"/>
  <c r="D10" i="13"/>
  <c r="E10" i="13" s="1"/>
  <c r="D9" i="13"/>
  <c r="E9" i="13" s="1"/>
  <c r="D8" i="13"/>
  <c r="E8" i="13" s="1"/>
  <c r="D7" i="13"/>
  <c r="E7" i="13" s="1"/>
  <c r="D6" i="13"/>
  <c r="E6" i="13" s="1"/>
  <c r="D4" i="13"/>
  <c r="E4" i="13" s="1"/>
  <c r="D3" i="13"/>
  <c r="E3" i="13" s="1"/>
  <c r="E6" i="12"/>
  <c r="D6" i="12"/>
  <c r="D5" i="12"/>
  <c r="E5" i="12" s="1"/>
  <c r="E4" i="12"/>
  <c r="D4" i="12"/>
  <c r="D3" i="12"/>
  <c r="E3" i="12" s="1"/>
  <c r="D40" i="11"/>
  <c r="E40" i="11" s="1"/>
  <c r="D39" i="11"/>
  <c r="E39" i="11" s="1"/>
  <c r="E35" i="11"/>
  <c r="D35" i="11"/>
  <c r="D34" i="11"/>
  <c r="E34" i="11" s="1"/>
  <c r="D33" i="11"/>
  <c r="E33" i="11" s="1"/>
  <c r="D32" i="11"/>
  <c r="E32" i="11" s="1"/>
  <c r="D31" i="11"/>
  <c r="E31" i="11" s="1"/>
  <c r="E30" i="11"/>
  <c r="D30" i="11"/>
  <c r="D26" i="11"/>
  <c r="E26" i="11" s="1"/>
  <c r="D25" i="11"/>
  <c r="E25" i="11" s="1"/>
  <c r="D24" i="11"/>
  <c r="E24" i="11" s="1"/>
  <c r="D23" i="11"/>
  <c r="E23" i="11" s="1"/>
  <c r="E22" i="11"/>
  <c r="D22" i="11"/>
  <c r="D21" i="11"/>
  <c r="E21" i="11" s="1"/>
  <c r="D20" i="11"/>
  <c r="E20" i="11" s="1"/>
  <c r="D19" i="11"/>
  <c r="E19" i="11" s="1"/>
  <c r="E18" i="11"/>
  <c r="D18" i="11"/>
  <c r="E17" i="11"/>
  <c r="D17" i="11"/>
  <c r="D13" i="11"/>
  <c r="E13" i="11" s="1"/>
  <c r="D12" i="11"/>
  <c r="E12" i="11" s="1"/>
  <c r="D11" i="11"/>
  <c r="E11" i="11" s="1"/>
  <c r="D10" i="11"/>
  <c r="E10" i="11" s="1"/>
  <c r="E6" i="11"/>
  <c r="D6" i="11"/>
  <c r="D5" i="11"/>
  <c r="E5" i="11" s="1"/>
  <c r="D4" i="11"/>
  <c r="E4" i="11" s="1"/>
  <c r="D3" i="11"/>
  <c r="E3" i="11" s="1"/>
  <c r="D79" i="10"/>
  <c r="E79" i="10" s="1"/>
  <c r="D78" i="10"/>
  <c r="E78" i="10" s="1"/>
  <c r="D76" i="10"/>
  <c r="E76" i="10" s="1"/>
  <c r="D75" i="10"/>
  <c r="E75" i="10" s="1"/>
  <c r="D74" i="10"/>
  <c r="E74" i="10" s="1"/>
  <c r="D73" i="10"/>
  <c r="E73" i="10" s="1"/>
  <c r="D72" i="10"/>
  <c r="E72" i="10" s="1"/>
  <c r="D70" i="10"/>
  <c r="E70" i="10" s="1"/>
  <c r="D69" i="10"/>
  <c r="E69" i="10" s="1"/>
  <c r="D67" i="10"/>
  <c r="E67" i="10" s="1"/>
  <c r="D66" i="10"/>
  <c r="E66" i="10" s="1"/>
  <c r="D65" i="10"/>
  <c r="E65" i="10" s="1"/>
  <c r="D64" i="10"/>
  <c r="E64" i="10" s="1"/>
  <c r="D63" i="10"/>
  <c r="E63" i="10" s="1"/>
  <c r="D62" i="10"/>
  <c r="E62" i="10" s="1"/>
  <c r="D61" i="10"/>
  <c r="E61" i="10" s="1"/>
  <c r="D60" i="10"/>
  <c r="E60" i="10" s="1"/>
  <c r="D59" i="10"/>
  <c r="E59" i="10" s="1"/>
  <c r="D58" i="10"/>
  <c r="E58" i="10" s="1"/>
  <c r="D57" i="10"/>
  <c r="E57" i="10" s="1"/>
  <c r="D55" i="10"/>
  <c r="E55" i="10" s="1"/>
  <c r="D53" i="10"/>
  <c r="E53" i="10" s="1"/>
  <c r="D52" i="10"/>
  <c r="E52" i="10" s="1"/>
  <c r="D51" i="10"/>
  <c r="E51" i="10" s="1"/>
  <c r="D50" i="10"/>
  <c r="E50" i="10" s="1"/>
  <c r="D49" i="10"/>
  <c r="E49" i="10" s="1"/>
  <c r="D48" i="10"/>
  <c r="E48" i="10" s="1"/>
  <c r="D47" i="10"/>
  <c r="E47" i="10" s="1"/>
  <c r="D46" i="10"/>
  <c r="E46" i="10" s="1"/>
  <c r="D45" i="10"/>
  <c r="E45" i="10" s="1"/>
  <c r="D44" i="10"/>
  <c r="E44" i="10" s="1"/>
  <c r="D43" i="10"/>
  <c r="E43" i="10" s="1"/>
  <c r="D42" i="10"/>
  <c r="E42" i="10" s="1"/>
  <c r="D40" i="10"/>
  <c r="E40" i="10" s="1"/>
  <c r="D39" i="10"/>
  <c r="E39" i="10" s="1"/>
  <c r="D38" i="10"/>
  <c r="E38" i="10" s="1"/>
  <c r="D37" i="10"/>
  <c r="E37" i="10" s="1"/>
  <c r="D36" i="10"/>
  <c r="E36" i="10" s="1"/>
  <c r="D34" i="10"/>
  <c r="E34" i="10" s="1"/>
  <c r="D33" i="10"/>
  <c r="E33" i="10" s="1"/>
  <c r="D32" i="10"/>
  <c r="E32" i="10" s="1"/>
  <c r="D31" i="10"/>
  <c r="E31" i="10" s="1"/>
  <c r="D30" i="10"/>
  <c r="E30" i="10" s="1"/>
  <c r="D29" i="10"/>
  <c r="E29" i="10" s="1"/>
  <c r="D27" i="10"/>
  <c r="E27" i="10" s="1"/>
  <c r="D25" i="10"/>
  <c r="E25" i="10" s="1"/>
  <c r="D24" i="10"/>
  <c r="E24" i="10" s="1"/>
  <c r="D21" i="10"/>
  <c r="E21" i="10" s="1"/>
  <c r="D20" i="10"/>
  <c r="E20" i="10" s="1"/>
  <c r="D19" i="10"/>
  <c r="E19" i="10" s="1"/>
  <c r="D18" i="10"/>
  <c r="E18" i="10" s="1"/>
  <c r="D17" i="10"/>
  <c r="E17" i="10" s="1"/>
  <c r="D16" i="10"/>
  <c r="E16" i="10" s="1"/>
  <c r="D14" i="10"/>
  <c r="E14" i="10" s="1"/>
  <c r="D13" i="10"/>
  <c r="E13" i="10" s="1"/>
  <c r="D12" i="10"/>
  <c r="E12" i="10" s="1"/>
  <c r="D11" i="10"/>
  <c r="E11" i="10" s="1"/>
  <c r="D10" i="10"/>
  <c r="E10" i="10" s="1"/>
  <c r="D9" i="10"/>
  <c r="E9" i="10" s="1"/>
  <c r="D8" i="10"/>
  <c r="E8" i="10" s="1"/>
  <c r="D7" i="10"/>
  <c r="E7" i="10" s="1"/>
  <c r="D6" i="10"/>
  <c r="E6" i="10" s="1"/>
  <c r="D5" i="10"/>
  <c r="E5" i="10" s="1"/>
  <c r="D3" i="10"/>
  <c r="E3" i="10" s="1"/>
  <c r="D150" i="9"/>
  <c r="E150" i="9" s="1"/>
  <c r="D147" i="9"/>
  <c r="E147" i="9" s="1"/>
  <c r="D145" i="9"/>
  <c r="E145" i="9" s="1"/>
  <c r="D144" i="9"/>
  <c r="E144" i="9" s="1"/>
  <c r="D143" i="9"/>
  <c r="E143" i="9" s="1"/>
  <c r="D141" i="9"/>
  <c r="E141" i="9" s="1"/>
  <c r="D140" i="9"/>
  <c r="E140" i="9" s="1"/>
  <c r="D139" i="9"/>
  <c r="E139" i="9" s="1"/>
  <c r="D138" i="9"/>
  <c r="E138" i="9" s="1"/>
  <c r="D137" i="9"/>
  <c r="E137" i="9" s="1"/>
  <c r="D136" i="9"/>
  <c r="E136" i="9" s="1"/>
  <c r="D135" i="9"/>
  <c r="E135" i="9" s="1"/>
  <c r="D134" i="9"/>
  <c r="E134" i="9" s="1"/>
  <c r="D132" i="9"/>
  <c r="E132" i="9" s="1"/>
  <c r="D131" i="9"/>
  <c r="E131" i="9" s="1"/>
  <c r="D127" i="9"/>
  <c r="E127" i="9" s="1"/>
  <c r="D126" i="9"/>
  <c r="E126" i="9" s="1"/>
  <c r="D125" i="9"/>
  <c r="E125" i="9" s="1"/>
  <c r="D124" i="9"/>
  <c r="E124" i="9" s="1"/>
  <c r="D120" i="9"/>
  <c r="E120" i="9" s="1"/>
  <c r="E119" i="9"/>
  <c r="D119" i="9"/>
  <c r="D115" i="9"/>
  <c r="E115" i="9" s="1"/>
  <c r="D114" i="9"/>
  <c r="E114" i="9" s="1"/>
  <c r="E113" i="9"/>
  <c r="D113" i="9"/>
  <c r="D112" i="9"/>
  <c r="E112" i="9" s="1"/>
  <c r="D111" i="9"/>
  <c r="E111" i="9" s="1"/>
  <c r="D110" i="9"/>
  <c r="E110" i="9" s="1"/>
  <c r="D106" i="9"/>
  <c r="E106" i="9" s="1"/>
  <c r="E105" i="9"/>
  <c r="D105" i="9"/>
  <c r="D104" i="9"/>
  <c r="E104" i="9" s="1"/>
  <c r="D103" i="9"/>
  <c r="E103" i="9" s="1"/>
  <c r="D102" i="9"/>
  <c r="E102" i="9" s="1"/>
  <c r="D101" i="9"/>
  <c r="E101" i="9" s="1"/>
  <c r="E100" i="9"/>
  <c r="D100" i="9"/>
  <c r="D99" i="9"/>
  <c r="E99" i="9" s="1"/>
  <c r="D98" i="9"/>
  <c r="E98" i="9" s="1"/>
  <c r="D97" i="9"/>
  <c r="E97" i="9" s="1"/>
  <c r="D93" i="9"/>
  <c r="E93" i="9" s="1"/>
  <c r="E92" i="9"/>
  <c r="D92" i="9"/>
  <c r="E91" i="9"/>
  <c r="D91" i="9"/>
  <c r="D90" i="9"/>
  <c r="E90" i="9" s="1"/>
  <c r="D86" i="9"/>
  <c r="E86" i="9" s="1"/>
  <c r="D85" i="9"/>
  <c r="E85" i="9" s="1"/>
  <c r="E84" i="9"/>
  <c r="D84" i="9"/>
  <c r="E83" i="9"/>
  <c r="D83" i="9"/>
  <c r="D79" i="9"/>
  <c r="E79" i="9" s="1"/>
  <c r="D78" i="9"/>
  <c r="E78" i="9" s="1"/>
  <c r="D76" i="9"/>
  <c r="E76" i="9" s="1"/>
  <c r="D75" i="9"/>
  <c r="E75" i="9" s="1"/>
  <c r="D74" i="9"/>
  <c r="E74" i="9" s="1"/>
  <c r="D73" i="9"/>
  <c r="E73" i="9" s="1"/>
  <c r="D72" i="9"/>
  <c r="E72" i="9" s="1"/>
  <c r="D70" i="9"/>
  <c r="E70" i="9" s="1"/>
  <c r="E69" i="9"/>
  <c r="D69" i="9"/>
  <c r="E67" i="9"/>
  <c r="D67" i="9"/>
  <c r="D66" i="9"/>
  <c r="E66" i="9" s="1"/>
  <c r="D65" i="9"/>
  <c r="E65" i="9" s="1"/>
  <c r="D64" i="9"/>
  <c r="E64" i="9" s="1"/>
  <c r="E63" i="9"/>
  <c r="D63" i="9"/>
  <c r="E62" i="9"/>
  <c r="D62" i="9"/>
  <c r="D61" i="9"/>
  <c r="E61" i="9" s="1"/>
  <c r="D60" i="9"/>
  <c r="E60" i="9" s="1"/>
  <c r="D59" i="9"/>
  <c r="E59" i="9" s="1"/>
  <c r="E58" i="9"/>
  <c r="D58" i="9"/>
  <c r="E57" i="9"/>
  <c r="D57" i="9"/>
  <c r="D55" i="9"/>
  <c r="E55" i="9" s="1"/>
  <c r="D53" i="9"/>
  <c r="E53" i="9" s="1"/>
  <c r="D52" i="9"/>
  <c r="E52" i="9" s="1"/>
  <c r="E51" i="9"/>
  <c r="D51" i="9"/>
  <c r="E50" i="9"/>
  <c r="D50" i="9"/>
  <c r="D49" i="9"/>
  <c r="E49" i="9" s="1"/>
  <c r="D48" i="9"/>
  <c r="E48" i="9" s="1"/>
  <c r="D47" i="9"/>
  <c r="E47" i="9" s="1"/>
  <c r="E46" i="9"/>
  <c r="D46" i="9"/>
  <c r="E45" i="9"/>
  <c r="D45" i="9"/>
  <c r="D44" i="9"/>
  <c r="E44" i="9" s="1"/>
  <c r="D43" i="9"/>
  <c r="E43" i="9" s="1"/>
  <c r="D42" i="9"/>
  <c r="E42" i="9" s="1"/>
  <c r="E40" i="9"/>
  <c r="D40" i="9"/>
  <c r="E39" i="9"/>
  <c r="D39" i="9"/>
  <c r="D38" i="9"/>
  <c r="E38" i="9" s="1"/>
  <c r="D37" i="9"/>
  <c r="E37" i="9" s="1"/>
  <c r="D36" i="9"/>
  <c r="E36" i="9" s="1"/>
  <c r="E34" i="9"/>
  <c r="D34" i="9"/>
  <c r="E33" i="9"/>
  <c r="D33" i="9"/>
  <c r="D32" i="9"/>
  <c r="E32" i="9" s="1"/>
  <c r="D31" i="9"/>
  <c r="E31" i="9" s="1"/>
  <c r="D30" i="9"/>
  <c r="E30" i="9" s="1"/>
  <c r="E29" i="9"/>
  <c r="D29" i="9"/>
  <c r="E27" i="9"/>
  <c r="D27" i="9"/>
  <c r="D25" i="9"/>
  <c r="E25" i="9" s="1"/>
  <c r="D24" i="9"/>
  <c r="E24" i="9" s="1"/>
  <c r="D21" i="9"/>
  <c r="E21" i="9" s="1"/>
  <c r="E20" i="9"/>
  <c r="D20" i="9"/>
  <c r="E19" i="9"/>
  <c r="D19" i="9"/>
  <c r="D18" i="9"/>
  <c r="E18" i="9" s="1"/>
  <c r="D17" i="9"/>
  <c r="E17" i="9" s="1"/>
  <c r="D16" i="9"/>
  <c r="E16" i="9" s="1"/>
  <c r="E14" i="9"/>
  <c r="D14" i="9"/>
  <c r="E13" i="9"/>
  <c r="D13" i="9"/>
  <c r="D12" i="9"/>
  <c r="E12" i="9" s="1"/>
  <c r="D11" i="9"/>
  <c r="E11" i="9" s="1"/>
  <c r="D10" i="9"/>
  <c r="E10" i="9" s="1"/>
  <c r="E9" i="9"/>
  <c r="D9" i="9"/>
  <c r="E8" i="9"/>
  <c r="D8" i="9"/>
  <c r="D7" i="9"/>
  <c r="E7" i="9" s="1"/>
  <c r="D6" i="9"/>
  <c r="E6" i="9" s="1"/>
  <c r="D5" i="9"/>
  <c r="E5" i="9" s="1"/>
  <c r="E3" i="9"/>
  <c r="D3" i="9"/>
</calcChain>
</file>

<file path=xl/sharedStrings.xml><?xml version="1.0" encoding="utf-8"?>
<sst xmlns="http://schemas.openxmlformats.org/spreadsheetml/2006/main" count="524" uniqueCount="189">
  <si>
    <t>IVA</t>
  </si>
  <si>
    <t>DECORADOS</t>
  </si>
  <si>
    <t>sku</t>
  </si>
  <si>
    <t>Flotantes</t>
  </si>
  <si>
    <t>VD062</t>
  </si>
  <si>
    <t>3,8x5</t>
  </si>
  <si>
    <t>VD001</t>
  </si>
  <si>
    <t>3,8x6</t>
  </si>
  <si>
    <t>VD002</t>
  </si>
  <si>
    <t>4,9x5</t>
  </si>
  <si>
    <t>VD003</t>
  </si>
  <si>
    <t>4,9x7,5</t>
  </si>
  <si>
    <t>VD004</t>
  </si>
  <si>
    <t>4,9x9</t>
  </si>
  <si>
    <t>VD005</t>
  </si>
  <si>
    <t>4,9x10</t>
  </si>
  <si>
    <t>VD006</t>
  </si>
  <si>
    <t>4,9x15</t>
  </si>
  <si>
    <t>VD007</t>
  </si>
  <si>
    <t>4,9x20</t>
  </si>
  <si>
    <t>VD008</t>
  </si>
  <si>
    <t>4,9x25</t>
  </si>
  <si>
    <t>VD009</t>
  </si>
  <si>
    <t>4,9x30</t>
  </si>
  <si>
    <t>VD010</t>
  </si>
  <si>
    <t>3,8x10</t>
  </si>
  <si>
    <t>VD011</t>
  </si>
  <si>
    <t>3,8x15</t>
  </si>
  <si>
    <t>VD012</t>
  </si>
  <si>
    <t>3,8x20</t>
  </si>
  <si>
    <t>VD013</t>
  </si>
  <si>
    <t>3,8x25</t>
  </si>
  <si>
    <t>VD014</t>
  </si>
  <si>
    <t>3,8x30</t>
  </si>
  <si>
    <t>VD015</t>
  </si>
  <si>
    <t>3,8x40</t>
  </si>
  <si>
    <t>VD016</t>
  </si>
  <si>
    <t>4x20</t>
  </si>
  <si>
    <t>VD017</t>
  </si>
  <si>
    <t>4x30</t>
  </si>
  <si>
    <t>VD018</t>
  </si>
  <si>
    <t>4,5x7</t>
  </si>
  <si>
    <t>VD019</t>
  </si>
  <si>
    <t>5x10</t>
  </si>
  <si>
    <t>VD020</t>
  </si>
  <si>
    <t>5x15</t>
  </si>
  <si>
    <t>VD021</t>
  </si>
  <si>
    <t>5x20</t>
  </si>
  <si>
    <t>VD022</t>
  </si>
  <si>
    <t>5x25</t>
  </si>
  <si>
    <t>VD023</t>
  </si>
  <si>
    <t>5x30</t>
  </si>
  <si>
    <t>VD024</t>
  </si>
  <si>
    <t>5x40</t>
  </si>
  <si>
    <t>VD025</t>
  </si>
  <si>
    <t>6x10</t>
  </si>
  <si>
    <t>VD026</t>
  </si>
  <si>
    <t>6x15</t>
  </si>
  <si>
    <t>VD027</t>
  </si>
  <si>
    <t>6x20</t>
  </si>
  <si>
    <t>VD028</t>
  </si>
  <si>
    <t>6x25</t>
  </si>
  <si>
    <t>VD029</t>
  </si>
  <si>
    <t>6x30</t>
  </si>
  <si>
    <t>VD030</t>
  </si>
  <si>
    <t>7x7</t>
  </si>
  <si>
    <t>VD031</t>
  </si>
  <si>
    <t>7x10</t>
  </si>
  <si>
    <t>VD032</t>
  </si>
  <si>
    <t>7x15</t>
  </si>
  <si>
    <t>VD033</t>
  </si>
  <si>
    <t>7x20</t>
  </si>
  <si>
    <t>VD034</t>
  </si>
  <si>
    <t>7x25</t>
  </si>
  <si>
    <t>VD035</t>
  </si>
  <si>
    <t>7x30</t>
  </si>
  <si>
    <t>VD036</t>
  </si>
  <si>
    <t>7x40</t>
  </si>
  <si>
    <t>VD037</t>
  </si>
  <si>
    <t>7x50</t>
  </si>
  <si>
    <t>VD038</t>
  </si>
  <si>
    <t>7x60</t>
  </si>
  <si>
    <t>VD039</t>
  </si>
  <si>
    <t>7x70</t>
  </si>
  <si>
    <t>VD040</t>
  </si>
  <si>
    <t>7x80</t>
  </si>
  <si>
    <t>VD041</t>
  </si>
  <si>
    <t>7x100</t>
  </si>
  <si>
    <t>VD042</t>
  </si>
  <si>
    <t>7,5x5</t>
  </si>
  <si>
    <t>8x8</t>
  </si>
  <si>
    <t>8x10</t>
  </si>
  <si>
    <t>VD043</t>
  </si>
  <si>
    <t>8x15</t>
  </si>
  <si>
    <t>VD044</t>
  </si>
  <si>
    <t>8x20</t>
  </si>
  <si>
    <t>VD045</t>
  </si>
  <si>
    <t>8x25</t>
  </si>
  <si>
    <t>VD046</t>
  </si>
  <si>
    <t>8x30</t>
  </si>
  <si>
    <t>VD047</t>
  </si>
  <si>
    <t>8x40</t>
  </si>
  <si>
    <t>VD048</t>
  </si>
  <si>
    <t>8x50</t>
  </si>
  <si>
    <t>VD049</t>
  </si>
  <si>
    <t>8x60</t>
  </si>
  <si>
    <t>VD050</t>
  </si>
  <si>
    <t>8x80</t>
  </si>
  <si>
    <t>VD051</t>
  </si>
  <si>
    <t>8x100</t>
  </si>
  <si>
    <t>VD052</t>
  </si>
  <si>
    <t>10x80</t>
  </si>
  <si>
    <t>VD053</t>
  </si>
  <si>
    <t>10x100</t>
  </si>
  <si>
    <t>VD054</t>
  </si>
  <si>
    <t>10,5x10</t>
  </si>
  <si>
    <t>VD055</t>
  </si>
  <si>
    <t>10,5x15</t>
  </si>
  <si>
    <t>VD056</t>
  </si>
  <si>
    <t>10,5x20</t>
  </si>
  <si>
    <t>VD057</t>
  </si>
  <si>
    <t>10,5x25</t>
  </si>
  <si>
    <t>VD058</t>
  </si>
  <si>
    <t>10,5x30</t>
  </si>
  <si>
    <t>VD059</t>
  </si>
  <si>
    <t>VD060</t>
  </si>
  <si>
    <t>VD061</t>
  </si>
  <si>
    <t>Valor Neto</t>
  </si>
  <si>
    <t>Valor Bruto</t>
  </si>
  <si>
    <t>IMPRESOS</t>
  </si>
  <si>
    <t>VD063</t>
  </si>
  <si>
    <t>VD064</t>
  </si>
  <si>
    <t>VD065</t>
  </si>
  <si>
    <t>VD066</t>
  </si>
  <si>
    <t>VD067</t>
  </si>
  <si>
    <t>VD068</t>
  </si>
  <si>
    <t>VD069</t>
  </si>
  <si>
    <t>VD070</t>
  </si>
  <si>
    <t>VD071</t>
  </si>
  <si>
    <t>VD072</t>
  </si>
  <si>
    <t>VD073</t>
  </si>
  <si>
    <t>VD074</t>
  </si>
  <si>
    <t>VD075</t>
  </si>
  <si>
    <t>VD076</t>
  </si>
  <si>
    <t>VD077</t>
  </si>
  <si>
    <t>VD078</t>
  </si>
  <si>
    <t>VD079</t>
  </si>
  <si>
    <t>VD080</t>
  </si>
  <si>
    <t>VD081</t>
  </si>
  <si>
    <t>VD082</t>
  </si>
  <si>
    <t>VD083</t>
  </si>
  <si>
    <t>VD084</t>
  </si>
  <si>
    <t>VD085</t>
  </si>
  <si>
    <t>VD086</t>
  </si>
  <si>
    <t>VD087</t>
  </si>
  <si>
    <t>VD088</t>
  </si>
  <si>
    <t>VD089</t>
  </si>
  <si>
    <t>Vela Bautizo</t>
  </si>
  <si>
    <t>Velón 3,8x5</t>
  </si>
  <si>
    <t>Velón 4,9x15</t>
  </si>
  <si>
    <t>Velón 3,8x10</t>
  </si>
  <si>
    <t>Velón 3,8x15</t>
  </si>
  <si>
    <t>Velón 3,8x20</t>
  </si>
  <si>
    <t>Velón 3,8x25</t>
  </si>
  <si>
    <t>Velón 7x15</t>
  </si>
  <si>
    <t>Velón 7x20</t>
  </si>
  <si>
    <t>Velón 7x25</t>
  </si>
  <si>
    <t>Velón 7x30</t>
  </si>
  <si>
    <t>Velón 7x40</t>
  </si>
  <si>
    <t>Velón 7x50</t>
  </si>
  <si>
    <t>Velón 7x60</t>
  </si>
  <si>
    <t>Velón 7x70</t>
  </si>
  <si>
    <t>Velón 7x80</t>
  </si>
  <si>
    <t>Velón 7x100</t>
  </si>
  <si>
    <t>Velón 8x30</t>
  </si>
  <si>
    <t>Velón 8x40</t>
  </si>
  <si>
    <t>Velón 8x50</t>
  </si>
  <si>
    <t>Velón 8x60</t>
  </si>
  <si>
    <t>Velón 8x80</t>
  </si>
  <si>
    <t>Velón 8x100</t>
  </si>
  <si>
    <t>Velón 10x80</t>
  </si>
  <si>
    <t>Velón 10x100</t>
  </si>
  <si>
    <t>Velón 4,9x7,5</t>
  </si>
  <si>
    <t>Medidas / cm</t>
  </si>
  <si>
    <t>Vela Bautizo color</t>
  </si>
  <si>
    <t>Vela Bautizo (color)</t>
  </si>
  <si>
    <t>VELONES</t>
  </si>
  <si>
    <t>VD090</t>
  </si>
  <si>
    <t>VELONES BANQUETERÍA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</si>
</sst>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5" x14ac:knownFonts="1">
    <font>
      <sz val="12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7562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0" xfId="0" applyBorder="1" applyAlignment="1"/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left" vertical="center"/>
    </xf>
    <xf numFmtId="0" fontId="3" fillId="0" borderId="7" xfId="0" applyFont="1" applyFill="1" applyBorder="1" applyAlignment="1">
      <alignment horizontal="center" vertical="center"/>
    </xf>
    <xf numFmtId="164" fontId="3" fillId="0" borderId="7" xfId="0" applyNumberFormat="1" applyFont="1" applyFill="1" applyBorder="1" applyAlignment="1">
      <alignment horizontal="right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left" vertical="center"/>
    </xf>
    <xf numFmtId="164" fontId="3" fillId="0" borderId="6" xfId="0" applyNumberFormat="1" applyFont="1" applyFill="1" applyBorder="1" applyAlignment="1">
      <alignment horizontal="right" vertical="center"/>
    </xf>
    <xf numFmtId="0" fontId="0" fillId="0" borderId="2" xfId="0" applyBorder="1"/>
    <xf numFmtId="0" fontId="0" fillId="0" borderId="1" xfId="0" applyBorder="1" applyAlignment="1"/>
    <xf numFmtId="0" fontId="0" fillId="0" borderId="2" xfId="0" applyBorder="1" applyAlignment="1"/>
    <xf numFmtId="0" fontId="3" fillId="0" borderId="12" xfId="0" applyFont="1" applyFill="1" applyBorder="1" applyAlignment="1">
      <alignment horizontal="left" vertical="center"/>
    </xf>
    <xf numFmtId="0" fontId="3" fillId="0" borderId="13" xfId="0" applyFont="1" applyFill="1" applyBorder="1" applyAlignment="1">
      <alignment horizontal="center" vertical="center"/>
    </xf>
    <xf numFmtId="164" fontId="3" fillId="0" borderId="13" xfId="0" applyNumberFormat="1" applyFont="1" applyFill="1" applyBorder="1" applyAlignment="1">
      <alignment horizontal="right" vertical="center"/>
    </xf>
    <xf numFmtId="164" fontId="3" fillId="0" borderId="14" xfId="0" applyNumberFormat="1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3" fillId="0" borderId="7" xfId="0" applyNumberFormat="1" applyFont="1" applyBorder="1" applyAlignment="1">
      <alignment horizontal="right" vertical="center" wrapText="1"/>
    </xf>
    <xf numFmtId="164" fontId="3" fillId="0" borderId="7" xfId="0" applyNumberFormat="1" applyFont="1" applyBorder="1" applyAlignment="1">
      <alignment horizontal="right" vertical="center"/>
    </xf>
    <xf numFmtId="0" fontId="4" fillId="0" borderId="7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0913FA6-A4F6-9E4E-BB04-D7D3A92125BF}">
  <we:reference id="wa200009404" version="1.0.0.8" store="es-HN" storeType="OMEX"/>
  <we:alternateReferences>
    <we:reference id="wa200009404" version="1.0.0.8" store="es-HN" storeType="OMEX"/>
  </we:alternateReferences>
  <we:properties>
    <we:property name="claude.fileId" value="&quot;3f170841-b972-492a-855f-327e9351516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ADAE-49A7-324C-816E-97C5121D5465}">
  <dimension ref="A1:E150"/>
  <sheetViews>
    <sheetView tabSelected="1" topLeftCell="A121" workbookViewId="0">
      <selection sqref="A1:E1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0" customHeight="1" x14ac:dyDescent="0.2">
      <c r="A1" s="4" t="s">
        <v>186</v>
      </c>
      <c r="B1" s="5"/>
      <c r="C1" s="5"/>
      <c r="D1" s="5"/>
      <c r="E1" s="6"/>
    </row>
    <row r="2" spans="1:5" x14ac:dyDescent="0.2">
      <c r="A2" s="22" t="s">
        <v>183</v>
      </c>
      <c r="B2" s="22" t="s">
        <v>2</v>
      </c>
      <c r="C2" s="23" t="s">
        <v>127</v>
      </c>
      <c r="D2" s="7" t="s">
        <v>0</v>
      </c>
      <c r="E2" s="7" t="s">
        <v>128</v>
      </c>
    </row>
    <row r="3" spans="1:5" x14ac:dyDescent="0.2">
      <c r="A3" s="26" t="s">
        <v>3</v>
      </c>
      <c r="B3" s="27" t="s">
        <v>187</v>
      </c>
      <c r="C3" s="24">
        <v>480</v>
      </c>
      <c r="D3" s="25">
        <f>C3*19%</f>
        <v>91.2</v>
      </c>
      <c r="E3" s="25">
        <f>C3+D3</f>
        <v>571.20000000000005</v>
      </c>
    </row>
    <row r="5" spans="1:5" x14ac:dyDescent="0.2">
      <c r="A5" s="28" t="s">
        <v>5</v>
      </c>
      <c r="B5" s="29" t="s">
        <v>6</v>
      </c>
      <c r="C5" s="25">
        <v>330</v>
      </c>
      <c r="D5" s="25">
        <f>C5*19%</f>
        <v>62.7</v>
      </c>
      <c r="E5" s="25">
        <f>C5+D5</f>
        <v>392.7</v>
      </c>
    </row>
    <row r="6" spans="1:5" x14ac:dyDescent="0.2">
      <c r="A6" s="28" t="s">
        <v>7</v>
      </c>
      <c r="B6" s="29" t="s">
        <v>8</v>
      </c>
      <c r="C6" s="25">
        <v>410</v>
      </c>
      <c r="D6" s="25">
        <f>C6*19%</f>
        <v>77.900000000000006</v>
      </c>
      <c r="E6" s="25">
        <f>C6+D6</f>
        <v>487.9</v>
      </c>
    </row>
    <row r="7" spans="1:5" x14ac:dyDescent="0.2">
      <c r="A7" s="28" t="s">
        <v>9</v>
      </c>
      <c r="B7" s="29" t="s">
        <v>10</v>
      </c>
      <c r="C7" s="25">
        <v>580</v>
      </c>
      <c r="D7" s="25">
        <f>C7*19%</f>
        <v>110.2</v>
      </c>
      <c r="E7" s="25">
        <f>C7+D7</f>
        <v>690.2</v>
      </c>
    </row>
    <row r="8" spans="1:5" x14ac:dyDescent="0.2">
      <c r="A8" s="28" t="s">
        <v>11</v>
      </c>
      <c r="B8" s="29" t="s">
        <v>12</v>
      </c>
      <c r="C8" s="25">
        <v>890</v>
      </c>
      <c r="D8" s="25">
        <f>C8*19%</f>
        <v>169.1</v>
      </c>
      <c r="E8" s="25">
        <f>C8+D8</f>
        <v>1059.0999999999999</v>
      </c>
    </row>
    <row r="9" spans="1:5" x14ac:dyDescent="0.2">
      <c r="A9" s="28" t="s">
        <v>13</v>
      </c>
      <c r="B9" s="29" t="s">
        <v>14</v>
      </c>
      <c r="C9" s="25">
        <v>1350</v>
      </c>
      <c r="D9" s="25">
        <f>C9*19%</f>
        <v>256.5</v>
      </c>
      <c r="E9" s="25">
        <f>C9+D9</f>
        <v>1606.5</v>
      </c>
    </row>
    <row r="10" spans="1:5" x14ac:dyDescent="0.2">
      <c r="A10" s="28" t="s">
        <v>15</v>
      </c>
      <c r="B10" s="29" t="s">
        <v>16</v>
      </c>
      <c r="C10" s="25">
        <v>1420</v>
      </c>
      <c r="D10" s="25">
        <f>C10*19%</f>
        <v>269.8</v>
      </c>
      <c r="E10" s="25">
        <f>C10+D10</f>
        <v>1689.8</v>
      </c>
    </row>
    <row r="11" spans="1:5" x14ac:dyDescent="0.2">
      <c r="A11" s="28" t="s">
        <v>17</v>
      </c>
      <c r="B11" s="29" t="s">
        <v>18</v>
      </c>
      <c r="C11" s="25">
        <v>2200</v>
      </c>
      <c r="D11" s="25">
        <f>C11*19%</f>
        <v>418</v>
      </c>
      <c r="E11" s="25">
        <f>C11+D11</f>
        <v>2618</v>
      </c>
    </row>
    <row r="12" spans="1:5" x14ac:dyDescent="0.2">
      <c r="A12" s="28" t="s">
        <v>19</v>
      </c>
      <c r="B12" s="29" t="s">
        <v>20</v>
      </c>
      <c r="C12" s="25">
        <v>2680</v>
      </c>
      <c r="D12" s="25">
        <f>C12*19%</f>
        <v>509.2</v>
      </c>
      <c r="E12" s="25">
        <f>C12+D12</f>
        <v>3189.2</v>
      </c>
    </row>
    <row r="13" spans="1:5" x14ac:dyDescent="0.2">
      <c r="A13" s="28" t="s">
        <v>21</v>
      </c>
      <c r="B13" s="29" t="s">
        <v>22</v>
      </c>
      <c r="C13" s="25">
        <v>2800</v>
      </c>
      <c r="D13" s="25">
        <f>C13*19%</f>
        <v>532</v>
      </c>
      <c r="E13" s="25">
        <f>C13+D13</f>
        <v>3332</v>
      </c>
    </row>
    <row r="14" spans="1:5" x14ac:dyDescent="0.2">
      <c r="A14" s="28" t="s">
        <v>23</v>
      </c>
      <c r="B14" s="29" t="s">
        <v>24</v>
      </c>
      <c r="C14" s="25">
        <v>3580</v>
      </c>
      <c r="D14" s="25">
        <f>C14*19%</f>
        <v>680.2</v>
      </c>
      <c r="E14" s="25">
        <f>C14+D14</f>
        <v>4260.2</v>
      </c>
    </row>
    <row r="16" spans="1:5" x14ac:dyDescent="0.2">
      <c r="A16" s="28" t="s">
        <v>25</v>
      </c>
      <c r="B16" s="29" t="s">
        <v>26</v>
      </c>
      <c r="C16" s="25">
        <v>1100</v>
      </c>
      <c r="D16" s="25">
        <f>C16*19%</f>
        <v>209</v>
      </c>
      <c r="E16" s="25">
        <f>C16+D16</f>
        <v>1309</v>
      </c>
    </row>
    <row r="17" spans="1:5" x14ac:dyDescent="0.2">
      <c r="A17" s="28" t="s">
        <v>27</v>
      </c>
      <c r="B17" s="29" t="s">
        <v>28</v>
      </c>
      <c r="C17" s="25">
        <v>1700</v>
      </c>
      <c r="D17" s="25">
        <f>C17*19%</f>
        <v>323</v>
      </c>
      <c r="E17" s="25">
        <f>C17+D17</f>
        <v>2023</v>
      </c>
    </row>
    <row r="18" spans="1:5" x14ac:dyDescent="0.2">
      <c r="A18" s="28" t="s">
        <v>29</v>
      </c>
      <c r="B18" s="29" t="s">
        <v>30</v>
      </c>
      <c r="C18" s="25">
        <v>2250</v>
      </c>
      <c r="D18" s="25">
        <f>C18*19%</f>
        <v>427.5</v>
      </c>
      <c r="E18" s="25">
        <f>C18+D18</f>
        <v>2677.5</v>
      </c>
    </row>
    <row r="19" spans="1:5" x14ac:dyDescent="0.2">
      <c r="A19" s="28" t="s">
        <v>31</v>
      </c>
      <c r="B19" s="29" t="s">
        <v>32</v>
      </c>
      <c r="C19" s="25">
        <v>2680</v>
      </c>
      <c r="D19" s="25">
        <f>C19*19%</f>
        <v>509.2</v>
      </c>
      <c r="E19" s="25">
        <f>C19+D19</f>
        <v>3189.2</v>
      </c>
    </row>
    <row r="20" spans="1:5" x14ac:dyDescent="0.2">
      <c r="A20" s="28" t="s">
        <v>33</v>
      </c>
      <c r="B20" s="29" t="s">
        <v>34</v>
      </c>
      <c r="C20" s="25">
        <v>3390</v>
      </c>
      <c r="D20" s="25">
        <f>C20*19%</f>
        <v>644.1</v>
      </c>
      <c r="E20" s="25">
        <f>C20+D20</f>
        <v>4034.1</v>
      </c>
    </row>
    <row r="21" spans="1:5" x14ac:dyDescent="0.2">
      <c r="A21" s="28" t="s">
        <v>35</v>
      </c>
      <c r="B21" s="29" t="s">
        <v>36</v>
      </c>
      <c r="C21" s="25">
        <v>4500</v>
      </c>
      <c r="D21" s="25">
        <f>C21*19%</f>
        <v>855</v>
      </c>
      <c r="E21" s="25">
        <f>C21+D21</f>
        <v>5355</v>
      </c>
    </row>
    <row r="24" spans="1:5" x14ac:dyDescent="0.2">
      <c r="A24" s="28" t="s">
        <v>37</v>
      </c>
      <c r="B24" s="29" t="s">
        <v>38</v>
      </c>
      <c r="C24" s="25">
        <v>2530</v>
      </c>
      <c r="D24" s="25">
        <f>C24*19%</f>
        <v>480.7</v>
      </c>
      <c r="E24" s="25">
        <f>C24+D24</f>
        <v>3010.7</v>
      </c>
    </row>
    <row r="25" spans="1:5" x14ac:dyDescent="0.2">
      <c r="A25" s="28" t="s">
        <v>39</v>
      </c>
      <c r="B25" s="29" t="s">
        <v>40</v>
      </c>
      <c r="C25" s="25">
        <v>3100</v>
      </c>
      <c r="D25" s="25">
        <f>C25*19%</f>
        <v>589</v>
      </c>
      <c r="E25" s="25">
        <f>C25+D25</f>
        <v>3689</v>
      </c>
    </row>
    <row r="27" spans="1:5" x14ac:dyDescent="0.2">
      <c r="A27" s="28" t="s">
        <v>41</v>
      </c>
      <c r="B27" s="29" t="s">
        <v>42</v>
      </c>
      <c r="C27" s="25">
        <v>1380</v>
      </c>
      <c r="D27" s="25">
        <f>C27*19%</f>
        <v>262.2</v>
      </c>
      <c r="E27" s="25">
        <f>C27+D27</f>
        <v>1642.2</v>
      </c>
    </row>
    <row r="29" spans="1:5" x14ac:dyDescent="0.2">
      <c r="A29" s="28" t="s">
        <v>43</v>
      </c>
      <c r="B29" s="29" t="s">
        <v>44</v>
      </c>
      <c r="C29" s="25">
        <v>1680</v>
      </c>
      <c r="D29" s="25">
        <f>C29*19%</f>
        <v>319.2</v>
      </c>
      <c r="E29" s="25">
        <f>C29+D29</f>
        <v>1999.2</v>
      </c>
    </row>
    <row r="30" spans="1:5" x14ac:dyDescent="0.2">
      <c r="A30" s="28" t="s">
        <v>45</v>
      </c>
      <c r="B30" s="29" t="s">
        <v>46</v>
      </c>
      <c r="C30" s="25">
        <v>2700</v>
      </c>
      <c r="D30" s="25">
        <f>C30*19%</f>
        <v>513</v>
      </c>
      <c r="E30" s="25">
        <f>C30+D30</f>
        <v>3213</v>
      </c>
    </row>
    <row r="31" spans="1:5" x14ac:dyDescent="0.2">
      <c r="A31" s="28" t="s">
        <v>47</v>
      </c>
      <c r="B31" s="29" t="s">
        <v>48</v>
      </c>
      <c r="C31" s="25">
        <v>3340</v>
      </c>
      <c r="D31" s="25">
        <f>C31*19%</f>
        <v>634.6</v>
      </c>
      <c r="E31" s="25">
        <f>C31+D31</f>
        <v>3974.6</v>
      </c>
    </row>
    <row r="32" spans="1:5" x14ac:dyDescent="0.2">
      <c r="A32" s="28" t="s">
        <v>49</v>
      </c>
      <c r="B32" s="29" t="s">
        <v>50</v>
      </c>
      <c r="C32" s="25">
        <v>4180</v>
      </c>
      <c r="D32" s="25">
        <f>C32*19%</f>
        <v>794.2</v>
      </c>
      <c r="E32" s="25">
        <f>C32+D32</f>
        <v>4974.2</v>
      </c>
    </row>
    <row r="33" spans="1:5" x14ac:dyDescent="0.2">
      <c r="A33" s="28" t="s">
        <v>51</v>
      </c>
      <c r="B33" s="29" t="s">
        <v>52</v>
      </c>
      <c r="C33" s="25">
        <v>4950</v>
      </c>
      <c r="D33" s="25">
        <f>C33*19%</f>
        <v>940.5</v>
      </c>
      <c r="E33" s="25">
        <f>C33+D33</f>
        <v>5890.5</v>
      </c>
    </row>
    <row r="34" spans="1:5" x14ac:dyDescent="0.2">
      <c r="A34" s="28" t="s">
        <v>53</v>
      </c>
      <c r="B34" s="29" t="s">
        <v>54</v>
      </c>
      <c r="C34" s="25">
        <v>6680</v>
      </c>
      <c r="D34" s="25">
        <f>C34*19%</f>
        <v>1269.2</v>
      </c>
      <c r="E34" s="25">
        <f>C34+D34</f>
        <v>7949.2</v>
      </c>
    </row>
    <row r="36" spans="1:5" x14ac:dyDescent="0.2">
      <c r="A36" s="28" t="s">
        <v>55</v>
      </c>
      <c r="B36" s="29" t="s">
        <v>56</v>
      </c>
      <c r="C36" s="25">
        <v>2050</v>
      </c>
      <c r="D36" s="25">
        <f>C36*19%</f>
        <v>389.5</v>
      </c>
      <c r="E36" s="25">
        <f>C36+D36</f>
        <v>2439.5</v>
      </c>
    </row>
    <row r="37" spans="1:5" x14ac:dyDescent="0.2">
      <c r="A37" s="28" t="s">
        <v>57</v>
      </c>
      <c r="B37" s="29" t="s">
        <v>58</v>
      </c>
      <c r="C37" s="25">
        <v>3200</v>
      </c>
      <c r="D37" s="25">
        <f>C37*19%</f>
        <v>608</v>
      </c>
      <c r="E37" s="25">
        <f>C37+D37</f>
        <v>3808</v>
      </c>
    </row>
    <row r="38" spans="1:5" x14ac:dyDescent="0.2">
      <c r="A38" s="28" t="s">
        <v>59</v>
      </c>
      <c r="B38" s="29" t="s">
        <v>60</v>
      </c>
      <c r="C38" s="25">
        <v>4100</v>
      </c>
      <c r="D38" s="25">
        <f>C38*19%</f>
        <v>779</v>
      </c>
      <c r="E38" s="25">
        <f>C38+D38</f>
        <v>4879</v>
      </c>
    </row>
    <row r="39" spans="1:5" x14ac:dyDescent="0.2">
      <c r="A39" s="28" t="s">
        <v>61</v>
      </c>
      <c r="B39" s="29" t="s">
        <v>62</v>
      </c>
      <c r="C39" s="25">
        <v>5150</v>
      </c>
      <c r="D39" s="25">
        <f>C39*19%</f>
        <v>978.5</v>
      </c>
      <c r="E39" s="25">
        <f>C39+D39</f>
        <v>6128.5</v>
      </c>
    </row>
    <row r="40" spans="1:5" x14ac:dyDescent="0.2">
      <c r="A40" s="28" t="s">
        <v>63</v>
      </c>
      <c r="B40" s="29" t="s">
        <v>64</v>
      </c>
      <c r="C40" s="25">
        <v>6100</v>
      </c>
      <c r="D40" s="25">
        <f>C40*19%</f>
        <v>1159</v>
      </c>
      <c r="E40" s="25">
        <f>C40+D40</f>
        <v>7259</v>
      </c>
    </row>
    <row r="42" spans="1:5" x14ac:dyDescent="0.2">
      <c r="A42" s="28" t="s">
        <v>65</v>
      </c>
      <c r="B42" s="29" t="s">
        <v>66</v>
      </c>
      <c r="C42" s="25">
        <v>2200</v>
      </c>
      <c r="D42" s="25">
        <f>C42*19%</f>
        <v>418</v>
      </c>
      <c r="E42" s="25">
        <f>C42+D42</f>
        <v>2618</v>
      </c>
    </row>
    <row r="43" spans="1:5" x14ac:dyDescent="0.2">
      <c r="A43" s="28" t="s">
        <v>67</v>
      </c>
      <c r="B43" s="29" t="s">
        <v>68</v>
      </c>
      <c r="C43" s="25">
        <v>2750</v>
      </c>
      <c r="D43" s="25">
        <f>C43*19%</f>
        <v>522.5</v>
      </c>
      <c r="E43" s="25">
        <f>C43+D43</f>
        <v>3272.5</v>
      </c>
    </row>
    <row r="44" spans="1:5" x14ac:dyDescent="0.2">
      <c r="A44" s="28" t="s">
        <v>69</v>
      </c>
      <c r="B44" s="29" t="s">
        <v>70</v>
      </c>
      <c r="C44" s="25">
        <v>4500</v>
      </c>
      <c r="D44" s="25">
        <f>C44*19%</f>
        <v>855</v>
      </c>
      <c r="E44" s="25">
        <f>C44+D44</f>
        <v>5355</v>
      </c>
    </row>
    <row r="45" spans="1:5" x14ac:dyDescent="0.2">
      <c r="A45" s="28" t="s">
        <v>71</v>
      </c>
      <c r="B45" s="29" t="s">
        <v>72</v>
      </c>
      <c r="C45" s="25">
        <v>5450</v>
      </c>
      <c r="D45" s="25">
        <f>C45*19%</f>
        <v>1035.5</v>
      </c>
      <c r="E45" s="25">
        <f>C45+D45</f>
        <v>6485.5</v>
      </c>
    </row>
    <row r="46" spans="1:5" x14ac:dyDescent="0.2">
      <c r="A46" s="28" t="s">
        <v>73</v>
      </c>
      <c r="B46" s="29" t="s">
        <v>74</v>
      </c>
      <c r="C46" s="25">
        <v>6850</v>
      </c>
      <c r="D46" s="25">
        <f>C46*19%</f>
        <v>1301.5</v>
      </c>
      <c r="E46" s="25">
        <f>C46+D46</f>
        <v>8151.5</v>
      </c>
    </row>
    <row r="47" spans="1:5" x14ac:dyDescent="0.2">
      <c r="A47" s="28" t="s">
        <v>75</v>
      </c>
      <c r="B47" s="29" t="s">
        <v>76</v>
      </c>
      <c r="C47" s="25">
        <v>8100</v>
      </c>
      <c r="D47" s="25">
        <f>C47*19%</f>
        <v>1539</v>
      </c>
      <c r="E47" s="25">
        <f>C47+D47</f>
        <v>9639</v>
      </c>
    </row>
    <row r="48" spans="1:5" x14ac:dyDescent="0.2">
      <c r="A48" s="28" t="s">
        <v>77</v>
      </c>
      <c r="B48" s="29" t="s">
        <v>78</v>
      </c>
      <c r="C48" s="25">
        <v>12100</v>
      </c>
      <c r="D48" s="25">
        <f>C48*19%</f>
        <v>2299</v>
      </c>
      <c r="E48" s="25">
        <f>C48+D48</f>
        <v>14399</v>
      </c>
    </row>
    <row r="49" spans="1:5" x14ac:dyDescent="0.2">
      <c r="A49" s="28" t="s">
        <v>79</v>
      </c>
      <c r="B49" s="29" t="s">
        <v>80</v>
      </c>
      <c r="C49" s="25">
        <v>15200</v>
      </c>
      <c r="D49" s="25">
        <f>C49*19%</f>
        <v>2888</v>
      </c>
      <c r="E49" s="25">
        <f>C49+D49</f>
        <v>18088</v>
      </c>
    </row>
    <row r="50" spans="1:5" x14ac:dyDescent="0.2">
      <c r="A50" s="28" t="s">
        <v>81</v>
      </c>
      <c r="B50" s="29" t="s">
        <v>82</v>
      </c>
      <c r="C50" s="25">
        <v>18000</v>
      </c>
      <c r="D50" s="25">
        <f>C50*19%</f>
        <v>3420</v>
      </c>
      <c r="E50" s="25">
        <f>C50+D50</f>
        <v>21420</v>
      </c>
    </row>
    <row r="51" spans="1:5" x14ac:dyDescent="0.2">
      <c r="A51" s="28" t="s">
        <v>83</v>
      </c>
      <c r="B51" s="29" t="s">
        <v>84</v>
      </c>
      <c r="C51" s="25">
        <v>20900</v>
      </c>
      <c r="D51" s="25">
        <f>C51*19%</f>
        <v>3971</v>
      </c>
      <c r="E51" s="25">
        <f>C51+D51</f>
        <v>24871</v>
      </c>
    </row>
    <row r="52" spans="1:5" x14ac:dyDescent="0.2">
      <c r="A52" s="28" t="s">
        <v>85</v>
      </c>
      <c r="B52" s="29" t="s">
        <v>86</v>
      </c>
      <c r="C52" s="25">
        <v>24200</v>
      </c>
      <c r="D52" s="25">
        <f>C52*19%</f>
        <v>4598</v>
      </c>
      <c r="E52" s="25">
        <f>C52+D52</f>
        <v>28798</v>
      </c>
    </row>
    <row r="53" spans="1:5" x14ac:dyDescent="0.2">
      <c r="A53" s="28" t="s">
        <v>87</v>
      </c>
      <c r="B53" s="29" t="s">
        <v>88</v>
      </c>
      <c r="C53" s="25">
        <v>30550</v>
      </c>
      <c r="D53" s="25">
        <f>C53*19%</f>
        <v>5804.5</v>
      </c>
      <c r="E53" s="25">
        <f>C53+D53</f>
        <v>36354.5</v>
      </c>
    </row>
    <row r="55" spans="1:5" x14ac:dyDescent="0.2">
      <c r="A55" s="28" t="s">
        <v>89</v>
      </c>
      <c r="B55" s="29" t="s">
        <v>86</v>
      </c>
      <c r="C55" s="25">
        <v>1550</v>
      </c>
      <c r="D55" s="25">
        <f>C55*19%</f>
        <v>294.5</v>
      </c>
      <c r="E55" s="25">
        <f>C55+D55</f>
        <v>1844.5</v>
      </c>
    </row>
    <row r="57" spans="1:5" x14ac:dyDescent="0.2">
      <c r="A57" s="28" t="s">
        <v>90</v>
      </c>
      <c r="B57" s="29" t="s">
        <v>88</v>
      </c>
      <c r="C57" s="25">
        <v>3450</v>
      </c>
      <c r="D57" s="25">
        <f>C57*19%</f>
        <v>655.5</v>
      </c>
      <c r="E57" s="25">
        <f>C57+D57</f>
        <v>4105.5</v>
      </c>
    </row>
    <row r="58" spans="1:5" x14ac:dyDescent="0.2">
      <c r="A58" s="28" t="s">
        <v>91</v>
      </c>
      <c r="B58" s="29" t="s">
        <v>92</v>
      </c>
      <c r="C58" s="25">
        <v>3650</v>
      </c>
      <c r="D58" s="25">
        <f>C58*19%</f>
        <v>693.5</v>
      </c>
      <c r="E58" s="25">
        <f>C58+D58</f>
        <v>4343.5</v>
      </c>
    </row>
    <row r="59" spans="1:5" x14ac:dyDescent="0.2">
      <c r="A59" s="28" t="s">
        <v>93</v>
      </c>
      <c r="B59" s="29" t="s">
        <v>94</v>
      </c>
      <c r="C59" s="25">
        <v>5480</v>
      </c>
      <c r="D59" s="25">
        <f>C59*19%</f>
        <v>1041.2</v>
      </c>
      <c r="E59" s="25">
        <f>C59+D59</f>
        <v>6521.2</v>
      </c>
    </row>
    <row r="60" spans="1:5" x14ac:dyDescent="0.2">
      <c r="A60" s="28" t="s">
        <v>95</v>
      </c>
      <c r="B60" s="29" t="s">
        <v>96</v>
      </c>
      <c r="C60" s="25">
        <v>7300</v>
      </c>
      <c r="D60" s="25">
        <f>C60*19%</f>
        <v>1387</v>
      </c>
      <c r="E60" s="25">
        <f>C60+D60</f>
        <v>8687</v>
      </c>
    </row>
    <row r="61" spans="1:5" x14ac:dyDescent="0.2">
      <c r="A61" s="28" t="s">
        <v>97</v>
      </c>
      <c r="B61" s="29" t="s">
        <v>98</v>
      </c>
      <c r="C61" s="25">
        <v>9130</v>
      </c>
      <c r="D61" s="25">
        <f>C61*19%</f>
        <v>1734.7</v>
      </c>
      <c r="E61" s="25">
        <f>C61+D61</f>
        <v>10864.7</v>
      </c>
    </row>
    <row r="62" spans="1:5" x14ac:dyDescent="0.2">
      <c r="A62" s="28" t="s">
        <v>99</v>
      </c>
      <c r="B62" s="29" t="s">
        <v>100</v>
      </c>
      <c r="C62" s="25">
        <v>10800</v>
      </c>
      <c r="D62" s="25">
        <f>C62*19%</f>
        <v>2052</v>
      </c>
      <c r="E62" s="25">
        <f>C62+D62</f>
        <v>12852</v>
      </c>
    </row>
    <row r="63" spans="1:5" x14ac:dyDescent="0.2">
      <c r="A63" s="28" t="s">
        <v>101</v>
      </c>
      <c r="B63" s="29" t="s">
        <v>102</v>
      </c>
      <c r="C63" s="25">
        <v>16050</v>
      </c>
      <c r="D63" s="25">
        <f>C63*19%</f>
        <v>3049.5</v>
      </c>
      <c r="E63" s="25">
        <f>C63+D63</f>
        <v>19099.5</v>
      </c>
    </row>
    <row r="64" spans="1:5" x14ac:dyDescent="0.2">
      <c r="A64" s="28" t="s">
        <v>103</v>
      </c>
      <c r="B64" s="29" t="s">
        <v>104</v>
      </c>
      <c r="C64" s="25">
        <v>20100</v>
      </c>
      <c r="D64" s="25">
        <f>C64*19%</f>
        <v>3819</v>
      </c>
      <c r="E64" s="25">
        <f>C64+D64</f>
        <v>23919</v>
      </c>
    </row>
    <row r="65" spans="1:5" x14ac:dyDescent="0.2">
      <c r="A65" s="28" t="s">
        <v>105</v>
      </c>
      <c r="B65" s="29" t="s">
        <v>106</v>
      </c>
      <c r="C65" s="25">
        <v>23250</v>
      </c>
      <c r="D65" s="25">
        <f>C65*19%</f>
        <v>4417.5</v>
      </c>
      <c r="E65" s="25">
        <f>C65+D65</f>
        <v>27667.5</v>
      </c>
    </row>
    <row r="66" spans="1:5" x14ac:dyDescent="0.2">
      <c r="A66" s="28" t="s">
        <v>107</v>
      </c>
      <c r="B66" s="29" t="s">
        <v>108</v>
      </c>
      <c r="C66" s="25">
        <v>32150</v>
      </c>
      <c r="D66" s="25">
        <f>C66*19%</f>
        <v>6108.5</v>
      </c>
      <c r="E66" s="25">
        <f>C66+D66</f>
        <v>38258.5</v>
      </c>
    </row>
    <row r="67" spans="1:5" x14ac:dyDescent="0.2">
      <c r="A67" s="28" t="s">
        <v>109</v>
      </c>
      <c r="B67" s="29" t="s">
        <v>110</v>
      </c>
      <c r="C67" s="25">
        <v>40000</v>
      </c>
      <c r="D67" s="25">
        <f>C67*19%</f>
        <v>7600</v>
      </c>
      <c r="E67" s="25">
        <f>C67+D67</f>
        <v>47600</v>
      </c>
    </row>
    <row r="69" spans="1:5" x14ac:dyDescent="0.2">
      <c r="A69" s="28" t="s">
        <v>111</v>
      </c>
      <c r="B69" s="29" t="s">
        <v>112</v>
      </c>
      <c r="C69" s="25">
        <v>42000</v>
      </c>
      <c r="D69" s="25">
        <f>C69*19%</f>
        <v>7980</v>
      </c>
      <c r="E69" s="25">
        <f>C69+D69</f>
        <v>49980</v>
      </c>
    </row>
    <row r="70" spans="1:5" x14ac:dyDescent="0.2">
      <c r="A70" s="28" t="s">
        <v>113</v>
      </c>
      <c r="B70" s="29" t="s">
        <v>114</v>
      </c>
      <c r="C70" s="25">
        <v>51500</v>
      </c>
      <c r="D70" s="25">
        <f>C70*19%</f>
        <v>9785</v>
      </c>
      <c r="E70" s="25">
        <f>C70+D70</f>
        <v>61285</v>
      </c>
    </row>
    <row r="72" spans="1:5" x14ac:dyDescent="0.2">
      <c r="A72" s="28" t="s">
        <v>115</v>
      </c>
      <c r="B72" s="29" t="s">
        <v>116</v>
      </c>
      <c r="C72" s="25">
        <v>6450</v>
      </c>
      <c r="D72" s="25">
        <f>C72*19%</f>
        <v>1225.5</v>
      </c>
      <c r="E72" s="25">
        <f>C72+D72</f>
        <v>7675.5</v>
      </c>
    </row>
    <row r="73" spans="1:5" x14ac:dyDescent="0.2">
      <c r="A73" s="28" t="s">
        <v>117</v>
      </c>
      <c r="B73" s="29" t="s">
        <v>118</v>
      </c>
      <c r="C73" s="25">
        <v>8800</v>
      </c>
      <c r="D73" s="25">
        <f>C73*19%</f>
        <v>1672</v>
      </c>
      <c r="E73" s="25">
        <f>C73+D73</f>
        <v>10472</v>
      </c>
    </row>
    <row r="74" spans="1:5" x14ac:dyDescent="0.2">
      <c r="A74" s="28" t="s">
        <v>119</v>
      </c>
      <c r="B74" s="29" t="s">
        <v>120</v>
      </c>
      <c r="C74" s="25">
        <v>11500</v>
      </c>
      <c r="D74" s="25">
        <f>C74*19%</f>
        <v>2185</v>
      </c>
      <c r="E74" s="25">
        <f>C74+D74</f>
        <v>13685</v>
      </c>
    </row>
    <row r="75" spans="1:5" x14ac:dyDescent="0.2">
      <c r="A75" s="28" t="s">
        <v>121</v>
      </c>
      <c r="B75" s="29" t="s">
        <v>122</v>
      </c>
      <c r="C75" s="25">
        <v>16000</v>
      </c>
      <c r="D75" s="25">
        <f>C75*19%</f>
        <v>3040</v>
      </c>
      <c r="E75" s="25">
        <f>C75+D75</f>
        <v>19040</v>
      </c>
    </row>
    <row r="76" spans="1:5" x14ac:dyDescent="0.2">
      <c r="A76" s="28" t="s">
        <v>123</v>
      </c>
      <c r="B76" s="29" t="s">
        <v>124</v>
      </c>
      <c r="C76" s="25">
        <v>17600</v>
      </c>
      <c r="D76" s="25">
        <f>C76*19%</f>
        <v>3344</v>
      </c>
      <c r="E76" s="25">
        <f>C76+D76</f>
        <v>20944</v>
      </c>
    </row>
    <row r="78" spans="1:5" x14ac:dyDescent="0.2">
      <c r="A78" s="8" t="s">
        <v>157</v>
      </c>
      <c r="B78" s="9" t="s">
        <v>125</v>
      </c>
      <c r="C78" s="10">
        <v>2200</v>
      </c>
      <c r="D78" s="25">
        <f>C78*19%</f>
        <v>418</v>
      </c>
      <c r="E78" s="25">
        <f>C78+D78</f>
        <v>2618</v>
      </c>
    </row>
    <row r="79" spans="1:5" x14ac:dyDescent="0.2">
      <c r="A79" s="8" t="s">
        <v>184</v>
      </c>
      <c r="B79" s="9" t="s">
        <v>126</v>
      </c>
      <c r="C79" s="10">
        <v>2400</v>
      </c>
      <c r="D79" s="25">
        <f>C79*19%</f>
        <v>456</v>
      </c>
      <c r="E79" s="25">
        <f>C79+D79</f>
        <v>2856</v>
      </c>
    </row>
    <row r="80" spans="1:5" ht="17" thickBot="1" x14ac:dyDescent="0.25"/>
    <row r="81" spans="1:5" ht="30" customHeight="1" x14ac:dyDescent="0.2">
      <c r="A81" s="30" t="s">
        <v>1</v>
      </c>
      <c r="B81" s="31"/>
      <c r="C81" s="31"/>
      <c r="D81" s="31"/>
      <c r="E81" s="32"/>
    </row>
    <row r="82" spans="1:5" x14ac:dyDescent="0.2">
      <c r="A82" s="11" t="s">
        <v>183</v>
      </c>
      <c r="B82" s="7" t="s">
        <v>2</v>
      </c>
      <c r="C82" s="7" t="s">
        <v>127</v>
      </c>
      <c r="D82" s="7" t="s">
        <v>0</v>
      </c>
      <c r="E82" s="12" t="s">
        <v>128</v>
      </c>
    </row>
    <row r="83" spans="1:5" x14ac:dyDescent="0.2">
      <c r="A83" s="13" t="s">
        <v>157</v>
      </c>
      <c r="B83" s="9" t="s">
        <v>125</v>
      </c>
      <c r="C83" s="10">
        <v>2200</v>
      </c>
      <c r="D83" s="10">
        <f>C83*19%</f>
        <v>418</v>
      </c>
      <c r="E83" s="14">
        <f>C83+D83</f>
        <v>2618</v>
      </c>
    </row>
    <row r="84" spans="1:5" x14ac:dyDescent="0.2">
      <c r="A84" s="13" t="s">
        <v>185</v>
      </c>
      <c r="B84" s="9" t="s">
        <v>126</v>
      </c>
      <c r="C84" s="10">
        <v>2400</v>
      </c>
      <c r="D84" s="10">
        <f t="shared" ref="D84:D120" si="0">C84*19%</f>
        <v>456</v>
      </c>
      <c r="E84" s="14">
        <f t="shared" ref="E84:E120" si="1">C84+D84</f>
        <v>2856</v>
      </c>
    </row>
    <row r="85" spans="1:5" x14ac:dyDescent="0.2">
      <c r="A85" s="13" t="s">
        <v>158</v>
      </c>
      <c r="B85" s="9" t="s">
        <v>4</v>
      </c>
      <c r="C85" s="10">
        <v>1850</v>
      </c>
      <c r="D85" s="10">
        <f t="shared" si="0"/>
        <v>351.5</v>
      </c>
      <c r="E85" s="14">
        <f t="shared" si="1"/>
        <v>2201.5</v>
      </c>
    </row>
    <row r="86" spans="1:5" x14ac:dyDescent="0.2">
      <c r="A86" s="13" t="s">
        <v>159</v>
      </c>
      <c r="B86" s="9" t="s">
        <v>130</v>
      </c>
      <c r="C86" s="10">
        <v>4600</v>
      </c>
      <c r="D86" s="10">
        <f t="shared" si="0"/>
        <v>874</v>
      </c>
      <c r="E86" s="14">
        <f t="shared" si="1"/>
        <v>5474</v>
      </c>
    </row>
    <row r="87" spans="1:5" x14ac:dyDescent="0.2">
      <c r="A87" s="1"/>
      <c r="B87" s="2"/>
      <c r="C87" s="2"/>
      <c r="D87" s="2"/>
      <c r="E87" s="15"/>
    </row>
    <row r="88" spans="1:5" x14ac:dyDescent="0.2">
      <c r="A88" s="16"/>
      <c r="B88" s="3"/>
      <c r="C88" s="3"/>
      <c r="D88" s="3"/>
      <c r="E88" s="17"/>
    </row>
    <row r="89" spans="1:5" x14ac:dyDescent="0.2">
      <c r="A89" s="11" t="s">
        <v>183</v>
      </c>
      <c r="B89" s="7" t="s">
        <v>2</v>
      </c>
      <c r="C89" s="7" t="s">
        <v>127</v>
      </c>
      <c r="D89" s="7" t="s">
        <v>0</v>
      </c>
      <c r="E89" s="12" t="s">
        <v>128</v>
      </c>
    </row>
    <row r="90" spans="1:5" x14ac:dyDescent="0.2">
      <c r="A90" s="13" t="s">
        <v>160</v>
      </c>
      <c r="B90" s="9" t="s">
        <v>131</v>
      </c>
      <c r="C90" s="10">
        <v>2350</v>
      </c>
      <c r="D90" s="10">
        <f t="shared" si="0"/>
        <v>446.5</v>
      </c>
      <c r="E90" s="14">
        <f t="shared" si="1"/>
        <v>2796.5</v>
      </c>
    </row>
    <row r="91" spans="1:5" x14ac:dyDescent="0.2">
      <c r="A91" s="13" t="s">
        <v>161</v>
      </c>
      <c r="B91" s="9" t="s">
        <v>132</v>
      </c>
      <c r="C91" s="10">
        <v>2830</v>
      </c>
      <c r="D91" s="10">
        <f t="shared" si="0"/>
        <v>537.70000000000005</v>
      </c>
      <c r="E91" s="14">
        <f t="shared" si="1"/>
        <v>3367.7</v>
      </c>
    </row>
    <row r="92" spans="1:5" x14ac:dyDescent="0.2">
      <c r="A92" s="13" t="s">
        <v>162</v>
      </c>
      <c r="B92" s="9" t="s">
        <v>133</v>
      </c>
      <c r="C92" s="10">
        <v>3300</v>
      </c>
      <c r="D92" s="10">
        <f t="shared" si="0"/>
        <v>627</v>
      </c>
      <c r="E92" s="14">
        <f t="shared" si="1"/>
        <v>3927</v>
      </c>
    </row>
    <row r="93" spans="1:5" x14ac:dyDescent="0.2">
      <c r="A93" s="13" t="s">
        <v>163</v>
      </c>
      <c r="B93" s="9" t="s">
        <v>134</v>
      </c>
      <c r="C93" s="10">
        <v>3850</v>
      </c>
      <c r="D93" s="10">
        <f t="shared" si="0"/>
        <v>731.5</v>
      </c>
      <c r="E93" s="14">
        <f t="shared" si="1"/>
        <v>4581.5</v>
      </c>
    </row>
    <row r="94" spans="1:5" x14ac:dyDescent="0.2">
      <c r="A94" s="1"/>
      <c r="B94" s="2"/>
      <c r="C94" s="2"/>
      <c r="D94" s="2"/>
      <c r="E94" s="15"/>
    </row>
    <row r="95" spans="1:5" x14ac:dyDescent="0.2">
      <c r="A95" s="1"/>
      <c r="B95" s="2"/>
      <c r="C95" s="2"/>
      <c r="D95" s="2"/>
      <c r="E95" s="15"/>
    </row>
    <row r="96" spans="1:5" x14ac:dyDescent="0.2">
      <c r="A96" s="11" t="s">
        <v>183</v>
      </c>
      <c r="B96" s="7" t="s">
        <v>2</v>
      </c>
      <c r="C96" s="7" t="s">
        <v>127</v>
      </c>
      <c r="D96" s="7" t="s">
        <v>0</v>
      </c>
      <c r="E96" s="12" t="s">
        <v>128</v>
      </c>
    </row>
    <row r="97" spans="1:5" x14ac:dyDescent="0.2">
      <c r="A97" s="13" t="s">
        <v>164</v>
      </c>
      <c r="B97" s="9" t="s">
        <v>135</v>
      </c>
      <c r="C97" s="10">
        <v>7810</v>
      </c>
      <c r="D97" s="10">
        <f t="shared" si="0"/>
        <v>1483.9</v>
      </c>
      <c r="E97" s="14">
        <f t="shared" si="1"/>
        <v>9293.9</v>
      </c>
    </row>
    <row r="98" spans="1:5" x14ac:dyDescent="0.2">
      <c r="A98" s="13" t="s">
        <v>165</v>
      </c>
      <c r="B98" s="9" t="s">
        <v>136</v>
      </c>
      <c r="C98" s="10">
        <v>8900</v>
      </c>
      <c r="D98" s="10">
        <f t="shared" si="0"/>
        <v>1691</v>
      </c>
      <c r="E98" s="14">
        <f t="shared" si="1"/>
        <v>10591</v>
      </c>
    </row>
    <row r="99" spans="1:5" x14ac:dyDescent="0.2">
      <c r="A99" s="13" t="s">
        <v>166</v>
      </c>
      <c r="B99" s="9" t="s">
        <v>137</v>
      </c>
      <c r="C99" s="10">
        <v>10400</v>
      </c>
      <c r="D99" s="10">
        <f t="shared" si="0"/>
        <v>1976</v>
      </c>
      <c r="E99" s="14">
        <f t="shared" si="1"/>
        <v>12376</v>
      </c>
    </row>
    <row r="100" spans="1:5" x14ac:dyDescent="0.2">
      <c r="A100" s="13" t="s">
        <v>167</v>
      </c>
      <c r="B100" s="9" t="s">
        <v>138</v>
      </c>
      <c r="C100" s="10">
        <v>12000</v>
      </c>
      <c r="D100" s="10">
        <f t="shared" si="0"/>
        <v>2280</v>
      </c>
      <c r="E100" s="14">
        <f t="shared" si="1"/>
        <v>14280</v>
      </c>
    </row>
    <row r="101" spans="1:5" x14ac:dyDescent="0.2">
      <c r="A101" s="13" t="s">
        <v>168</v>
      </c>
      <c r="B101" s="9" t="s">
        <v>139</v>
      </c>
      <c r="C101" s="10">
        <v>19300</v>
      </c>
      <c r="D101" s="10">
        <f t="shared" si="0"/>
        <v>3667</v>
      </c>
      <c r="E101" s="14">
        <f t="shared" si="1"/>
        <v>22967</v>
      </c>
    </row>
    <row r="102" spans="1:5" x14ac:dyDescent="0.2">
      <c r="A102" s="13" t="s">
        <v>169</v>
      </c>
      <c r="B102" s="9" t="s">
        <v>140</v>
      </c>
      <c r="C102" s="10">
        <v>22500</v>
      </c>
      <c r="D102" s="10">
        <f t="shared" si="0"/>
        <v>4275</v>
      </c>
      <c r="E102" s="14">
        <f t="shared" si="1"/>
        <v>26775</v>
      </c>
    </row>
    <row r="103" spans="1:5" x14ac:dyDescent="0.2">
      <c r="A103" s="13" t="s">
        <v>170</v>
      </c>
      <c r="B103" s="9" t="s">
        <v>141</v>
      </c>
      <c r="C103" s="10">
        <v>26400</v>
      </c>
      <c r="D103" s="10">
        <f t="shared" si="0"/>
        <v>5016</v>
      </c>
      <c r="E103" s="14">
        <f t="shared" si="1"/>
        <v>31416</v>
      </c>
    </row>
    <row r="104" spans="1:5" x14ac:dyDescent="0.2">
      <c r="A104" s="13" t="s">
        <v>171</v>
      </c>
      <c r="B104" s="9" t="s">
        <v>142</v>
      </c>
      <c r="C104" s="10">
        <v>28500</v>
      </c>
      <c r="D104" s="10">
        <f t="shared" si="0"/>
        <v>5415</v>
      </c>
      <c r="E104" s="14">
        <f t="shared" si="1"/>
        <v>33915</v>
      </c>
    </row>
    <row r="105" spans="1:5" x14ac:dyDescent="0.2">
      <c r="A105" s="13" t="s">
        <v>172</v>
      </c>
      <c r="B105" s="9" t="s">
        <v>143</v>
      </c>
      <c r="C105" s="10">
        <v>31680</v>
      </c>
      <c r="D105" s="10">
        <f t="shared" si="0"/>
        <v>6019.2</v>
      </c>
      <c r="E105" s="14">
        <f t="shared" si="1"/>
        <v>37699.199999999997</v>
      </c>
    </row>
    <row r="106" spans="1:5" x14ac:dyDescent="0.2">
      <c r="A106" s="13" t="s">
        <v>173</v>
      </c>
      <c r="B106" s="9" t="s">
        <v>144</v>
      </c>
      <c r="C106" s="10">
        <v>40150</v>
      </c>
      <c r="D106" s="10">
        <f t="shared" si="0"/>
        <v>7628.5</v>
      </c>
      <c r="E106" s="14">
        <f t="shared" si="1"/>
        <v>47778.5</v>
      </c>
    </row>
    <row r="107" spans="1:5" x14ac:dyDescent="0.2">
      <c r="A107" s="1"/>
      <c r="B107" s="2"/>
      <c r="C107" s="2"/>
      <c r="D107" s="2"/>
      <c r="E107" s="15"/>
    </row>
    <row r="108" spans="1:5" x14ac:dyDescent="0.2">
      <c r="A108" s="1"/>
      <c r="B108" s="2"/>
      <c r="C108" s="2"/>
      <c r="D108" s="2"/>
      <c r="E108" s="15"/>
    </row>
    <row r="109" spans="1:5" x14ac:dyDescent="0.2">
      <c r="A109" s="11" t="s">
        <v>183</v>
      </c>
      <c r="B109" s="7" t="s">
        <v>2</v>
      </c>
      <c r="C109" s="7" t="s">
        <v>127</v>
      </c>
      <c r="D109" s="7" t="s">
        <v>0</v>
      </c>
      <c r="E109" s="12" t="s">
        <v>128</v>
      </c>
    </row>
    <row r="110" spans="1:5" x14ac:dyDescent="0.2">
      <c r="A110" s="13" t="s">
        <v>174</v>
      </c>
      <c r="B110" s="9" t="s">
        <v>145</v>
      </c>
      <c r="C110" s="10">
        <v>17500</v>
      </c>
      <c r="D110" s="10">
        <f t="shared" si="0"/>
        <v>3325</v>
      </c>
      <c r="E110" s="14">
        <f t="shared" si="1"/>
        <v>20825</v>
      </c>
    </row>
    <row r="111" spans="1:5" x14ac:dyDescent="0.2">
      <c r="A111" s="13" t="s">
        <v>175</v>
      </c>
      <c r="B111" s="9" t="s">
        <v>146</v>
      </c>
      <c r="C111" s="10">
        <v>25800</v>
      </c>
      <c r="D111" s="10">
        <f t="shared" si="0"/>
        <v>4902</v>
      </c>
      <c r="E111" s="14">
        <f t="shared" si="1"/>
        <v>30702</v>
      </c>
    </row>
    <row r="112" spans="1:5" x14ac:dyDescent="0.2">
      <c r="A112" s="13" t="s">
        <v>176</v>
      </c>
      <c r="B112" s="9" t="s">
        <v>147</v>
      </c>
      <c r="C112" s="10">
        <v>29850</v>
      </c>
      <c r="D112" s="10">
        <f t="shared" si="0"/>
        <v>5671.5</v>
      </c>
      <c r="E112" s="14">
        <f t="shared" si="1"/>
        <v>35521.5</v>
      </c>
    </row>
    <row r="113" spans="1:5" x14ac:dyDescent="0.2">
      <c r="A113" s="13" t="s">
        <v>177</v>
      </c>
      <c r="B113" s="9" t="s">
        <v>148</v>
      </c>
      <c r="C113" s="10">
        <v>32890</v>
      </c>
      <c r="D113" s="10">
        <f t="shared" si="0"/>
        <v>6249.1</v>
      </c>
      <c r="E113" s="14">
        <f t="shared" si="1"/>
        <v>39139.1</v>
      </c>
    </row>
    <row r="114" spans="1:5" x14ac:dyDescent="0.2">
      <c r="A114" s="13" t="s">
        <v>178</v>
      </c>
      <c r="B114" s="9" t="s">
        <v>149</v>
      </c>
      <c r="C114" s="10">
        <v>38610</v>
      </c>
      <c r="D114" s="10">
        <f t="shared" si="0"/>
        <v>7335.9</v>
      </c>
      <c r="E114" s="14">
        <f t="shared" si="1"/>
        <v>45945.9</v>
      </c>
    </row>
    <row r="115" spans="1:5" x14ac:dyDescent="0.2">
      <c r="A115" s="13" t="s">
        <v>179</v>
      </c>
      <c r="B115" s="9" t="s">
        <v>150</v>
      </c>
      <c r="C115" s="10">
        <v>48620</v>
      </c>
      <c r="D115" s="10">
        <f t="shared" si="0"/>
        <v>9237.7999999999993</v>
      </c>
      <c r="E115" s="14">
        <f t="shared" si="1"/>
        <v>57857.8</v>
      </c>
    </row>
    <row r="116" spans="1:5" x14ac:dyDescent="0.2">
      <c r="A116" s="1"/>
      <c r="B116" s="2"/>
      <c r="C116" s="2"/>
      <c r="D116" s="2"/>
      <c r="E116" s="15"/>
    </row>
    <row r="117" spans="1:5" x14ac:dyDescent="0.2">
      <c r="A117" s="1"/>
      <c r="B117" s="2"/>
      <c r="C117" s="2"/>
      <c r="D117" s="2"/>
      <c r="E117" s="15"/>
    </row>
    <row r="118" spans="1:5" x14ac:dyDescent="0.2">
      <c r="A118" s="11" t="s">
        <v>183</v>
      </c>
      <c r="B118" s="7" t="s">
        <v>2</v>
      </c>
      <c r="C118" s="7" t="s">
        <v>127</v>
      </c>
      <c r="D118" s="7" t="s">
        <v>0</v>
      </c>
      <c r="E118" s="12" t="s">
        <v>128</v>
      </c>
    </row>
    <row r="119" spans="1:5" x14ac:dyDescent="0.2">
      <c r="A119" s="13" t="s">
        <v>180</v>
      </c>
      <c r="B119" s="9" t="s">
        <v>151</v>
      </c>
      <c r="C119" s="10">
        <v>55600</v>
      </c>
      <c r="D119" s="10">
        <f t="shared" si="0"/>
        <v>10564</v>
      </c>
      <c r="E119" s="14">
        <f t="shared" si="1"/>
        <v>66164</v>
      </c>
    </row>
    <row r="120" spans="1:5" x14ac:dyDescent="0.2">
      <c r="A120" s="13" t="s">
        <v>181</v>
      </c>
      <c r="B120" s="9" t="s">
        <v>152</v>
      </c>
      <c r="C120" s="10">
        <v>60100</v>
      </c>
      <c r="D120" s="10">
        <f t="shared" si="0"/>
        <v>11419</v>
      </c>
      <c r="E120" s="14">
        <f t="shared" si="1"/>
        <v>71519</v>
      </c>
    </row>
    <row r="122" spans="1:5" ht="30" customHeight="1" x14ac:dyDescent="0.2">
      <c r="A122" s="33" t="s">
        <v>129</v>
      </c>
      <c r="B122" s="34"/>
      <c r="C122" s="34"/>
      <c r="D122" s="34"/>
      <c r="E122" s="35"/>
    </row>
    <row r="123" spans="1:5" x14ac:dyDescent="0.2">
      <c r="A123" s="11" t="s">
        <v>183</v>
      </c>
      <c r="B123" s="7" t="s">
        <v>2</v>
      </c>
      <c r="C123" s="7" t="s">
        <v>127</v>
      </c>
      <c r="D123" s="7" t="s">
        <v>0</v>
      </c>
      <c r="E123" s="12" t="s">
        <v>128</v>
      </c>
    </row>
    <row r="124" spans="1:5" x14ac:dyDescent="0.2">
      <c r="A124" s="13" t="s">
        <v>158</v>
      </c>
      <c r="B124" s="9" t="s">
        <v>153</v>
      </c>
      <c r="C124" s="10">
        <v>1500</v>
      </c>
      <c r="D124" s="10">
        <f>C124*19%</f>
        <v>285</v>
      </c>
      <c r="E124" s="14">
        <f>C124+D124</f>
        <v>1785</v>
      </c>
    </row>
    <row r="125" spans="1:5" x14ac:dyDescent="0.2">
      <c r="A125" s="13" t="s">
        <v>182</v>
      </c>
      <c r="B125" s="9" t="s">
        <v>154</v>
      </c>
      <c r="C125" s="10">
        <v>2600</v>
      </c>
      <c r="D125" s="10">
        <f>C125*19%</f>
        <v>494</v>
      </c>
      <c r="E125" s="14">
        <f>C125+D125</f>
        <v>3094</v>
      </c>
    </row>
    <row r="126" spans="1:5" x14ac:dyDescent="0.2">
      <c r="A126" s="13" t="s">
        <v>159</v>
      </c>
      <c r="B126" s="9" t="s">
        <v>155</v>
      </c>
      <c r="C126" s="10">
        <v>3700</v>
      </c>
      <c r="D126" s="10">
        <f>C126*19%</f>
        <v>703</v>
      </c>
      <c r="E126" s="14">
        <f>C126+D126</f>
        <v>4403</v>
      </c>
    </row>
    <row r="127" spans="1:5" ht="17" thickBot="1" x14ac:dyDescent="0.25">
      <c r="A127" s="18" t="s">
        <v>165</v>
      </c>
      <c r="B127" s="19" t="s">
        <v>156</v>
      </c>
      <c r="C127" s="20">
        <v>6500</v>
      </c>
      <c r="D127" s="20">
        <f>C127*19%</f>
        <v>1235</v>
      </c>
      <c r="E127" s="21">
        <f>C127+D127</f>
        <v>7735</v>
      </c>
    </row>
    <row r="128" spans="1:5" ht="17" thickBot="1" x14ac:dyDescent="0.25"/>
    <row r="129" spans="1:5" ht="30" customHeight="1" x14ac:dyDescent="0.2">
      <c r="A129" s="4" t="s">
        <v>188</v>
      </c>
      <c r="B129" s="5"/>
      <c r="C129" s="5"/>
      <c r="D129" s="5"/>
      <c r="E129" s="6"/>
    </row>
    <row r="130" spans="1:5" x14ac:dyDescent="0.2">
      <c r="A130" s="22" t="s">
        <v>183</v>
      </c>
      <c r="B130" s="22" t="s">
        <v>2</v>
      </c>
      <c r="C130" s="23" t="s">
        <v>127</v>
      </c>
      <c r="D130" s="7" t="s">
        <v>0</v>
      </c>
      <c r="E130" s="7" t="s">
        <v>128</v>
      </c>
    </row>
    <row r="131" spans="1:5" x14ac:dyDescent="0.2">
      <c r="A131" s="28" t="s">
        <v>5</v>
      </c>
      <c r="B131" s="29" t="s">
        <v>6</v>
      </c>
      <c r="C131" s="25">
        <v>330</v>
      </c>
      <c r="D131" s="25">
        <f>C131*19%</f>
        <v>62.7</v>
      </c>
      <c r="E131" s="25">
        <f>C131+D131</f>
        <v>392.7</v>
      </c>
    </row>
    <row r="132" spans="1:5" x14ac:dyDescent="0.2">
      <c r="A132" s="28" t="s">
        <v>7</v>
      </c>
      <c r="B132" s="29" t="s">
        <v>8</v>
      </c>
      <c r="C132" s="25">
        <v>410</v>
      </c>
      <c r="D132" s="25">
        <f>C132*19%</f>
        <v>77.900000000000006</v>
      </c>
      <c r="E132" s="25">
        <f>C132+D132</f>
        <v>487.9</v>
      </c>
    </row>
    <row r="134" spans="1:5" x14ac:dyDescent="0.2">
      <c r="A134" s="28" t="s">
        <v>9</v>
      </c>
      <c r="B134" s="29" t="s">
        <v>10</v>
      </c>
      <c r="C134" s="25">
        <v>580</v>
      </c>
      <c r="D134" s="25">
        <f>C134*19%</f>
        <v>110.2</v>
      </c>
      <c r="E134" s="25">
        <f>C134+D134</f>
        <v>690.2</v>
      </c>
    </row>
    <row r="135" spans="1:5" x14ac:dyDescent="0.2">
      <c r="A135" s="28" t="s">
        <v>11</v>
      </c>
      <c r="B135" s="29" t="s">
        <v>12</v>
      </c>
      <c r="C135" s="25">
        <v>890</v>
      </c>
      <c r="D135" s="25">
        <f>C135*19%</f>
        <v>169.1</v>
      </c>
      <c r="E135" s="25">
        <f>C135+D135</f>
        <v>1059.0999999999999</v>
      </c>
    </row>
    <row r="136" spans="1:5" x14ac:dyDescent="0.2">
      <c r="A136" s="28" t="s">
        <v>13</v>
      </c>
      <c r="B136" s="29" t="s">
        <v>14</v>
      </c>
      <c r="C136" s="25">
        <v>1350</v>
      </c>
      <c r="D136" s="25">
        <f>C136*19%</f>
        <v>256.5</v>
      </c>
      <c r="E136" s="25">
        <f>C136+D136</f>
        <v>1606.5</v>
      </c>
    </row>
    <row r="137" spans="1:5" x14ac:dyDescent="0.2">
      <c r="A137" s="28" t="s">
        <v>15</v>
      </c>
      <c r="B137" s="29" t="s">
        <v>16</v>
      </c>
      <c r="C137" s="25">
        <v>1420</v>
      </c>
      <c r="D137" s="25">
        <f>C137*19%</f>
        <v>269.8</v>
      </c>
      <c r="E137" s="25">
        <f>C137+D137</f>
        <v>1689.8</v>
      </c>
    </row>
    <row r="138" spans="1:5" x14ac:dyDescent="0.2">
      <c r="A138" s="28" t="s">
        <v>17</v>
      </c>
      <c r="B138" s="29" t="s">
        <v>18</v>
      </c>
      <c r="C138" s="25">
        <v>2200</v>
      </c>
      <c r="D138" s="25">
        <f>C138*19%</f>
        <v>418</v>
      </c>
      <c r="E138" s="25">
        <f>C138+D138</f>
        <v>2618</v>
      </c>
    </row>
    <row r="139" spans="1:5" x14ac:dyDescent="0.2">
      <c r="A139" s="28" t="s">
        <v>19</v>
      </c>
      <c r="B139" s="29" t="s">
        <v>20</v>
      </c>
      <c r="C139" s="25">
        <v>2680</v>
      </c>
      <c r="D139" s="25">
        <f>C139*19%</f>
        <v>509.2</v>
      </c>
      <c r="E139" s="25">
        <f>C139+D139</f>
        <v>3189.2</v>
      </c>
    </row>
    <row r="140" spans="1:5" x14ac:dyDescent="0.2">
      <c r="A140" s="28" t="s">
        <v>21</v>
      </c>
      <c r="B140" s="29" t="s">
        <v>22</v>
      </c>
      <c r="C140" s="25">
        <v>2800</v>
      </c>
      <c r="D140" s="25">
        <f>C140*19%</f>
        <v>532</v>
      </c>
      <c r="E140" s="25">
        <f>C140+D140</f>
        <v>3332</v>
      </c>
    </row>
    <row r="141" spans="1:5" x14ac:dyDescent="0.2">
      <c r="A141" s="28" t="s">
        <v>23</v>
      </c>
      <c r="B141" s="29" t="s">
        <v>24</v>
      </c>
      <c r="C141" s="25">
        <v>3580</v>
      </c>
      <c r="D141" s="25">
        <f>C141*19%</f>
        <v>680.2</v>
      </c>
      <c r="E141" s="25">
        <f>C141+D141</f>
        <v>4260.2</v>
      </c>
    </row>
    <row r="143" spans="1:5" x14ac:dyDescent="0.2">
      <c r="A143" s="28" t="s">
        <v>65</v>
      </c>
      <c r="B143" s="29" t="s">
        <v>66</v>
      </c>
      <c r="C143" s="25">
        <v>2200</v>
      </c>
      <c r="D143" s="25">
        <f>C143*19%</f>
        <v>418</v>
      </c>
      <c r="E143" s="25">
        <f>C143+D143</f>
        <v>2618</v>
      </c>
    </row>
    <row r="144" spans="1:5" x14ac:dyDescent="0.2">
      <c r="A144" s="28" t="s">
        <v>67</v>
      </c>
      <c r="B144" s="29" t="s">
        <v>68</v>
      </c>
      <c r="C144" s="25">
        <v>2750</v>
      </c>
      <c r="D144" s="25">
        <f>C144*19%</f>
        <v>522.5</v>
      </c>
      <c r="E144" s="25">
        <f>C144+D144</f>
        <v>3272.5</v>
      </c>
    </row>
    <row r="145" spans="1:5" x14ac:dyDescent="0.2">
      <c r="A145" s="28" t="s">
        <v>69</v>
      </c>
      <c r="B145" s="29" t="s">
        <v>70</v>
      </c>
      <c r="C145" s="25">
        <v>4500</v>
      </c>
      <c r="D145" s="25">
        <f>C145*19%</f>
        <v>855</v>
      </c>
      <c r="E145" s="25">
        <f>C145+D145</f>
        <v>5355</v>
      </c>
    </row>
    <row r="147" spans="1:5" x14ac:dyDescent="0.2">
      <c r="A147" s="28" t="s">
        <v>89</v>
      </c>
      <c r="B147" s="29" t="s">
        <v>86</v>
      </c>
      <c r="C147" s="25">
        <v>1550</v>
      </c>
      <c r="D147" s="25">
        <f>C147*19%</f>
        <v>294.5</v>
      </c>
      <c r="E147" s="25">
        <f>C147+D147</f>
        <v>1844.5</v>
      </c>
    </row>
    <row r="150" spans="1:5" x14ac:dyDescent="0.2">
      <c r="A150" s="26" t="s">
        <v>3</v>
      </c>
      <c r="B150" s="27" t="s">
        <v>187</v>
      </c>
      <c r="C150" s="24">
        <v>480</v>
      </c>
      <c r="D150" s="25">
        <f>C150*19%</f>
        <v>91.2</v>
      </c>
      <c r="E150" s="25">
        <f>C150+D150</f>
        <v>571.20000000000005</v>
      </c>
    </row>
  </sheetData>
  <mergeCells count="4">
    <mergeCell ref="A1:E1"/>
    <mergeCell ref="A129:E129"/>
    <mergeCell ref="A81:E81"/>
    <mergeCell ref="A122:E1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6B890-615A-584E-85D6-A597A3094D46}">
  <dimension ref="A1:E79"/>
  <sheetViews>
    <sheetView topLeftCell="A45" workbookViewId="0">
      <selection activeCell="E3" sqref="E3:E79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x14ac:dyDescent="0.2">
      <c r="A1" s="4" t="s">
        <v>186</v>
      </c>
      <c r="B1" s="5"/>
      <c r="C1" s="5"/>
      <c r="D1" s="5"/>
      <c r="E1" s="6"/>
    </row>
    <row r="2" spans="1:5" x14ac:dyDescent="0.2">
      <c r="A2" s="22" t="s">
        <v>183</v>
      </c>
      <c r="B2" s="22" t="s">
        <v>2</v>
      </c>
      <c r="C2" s="23" t="s">
        <v>127</v>
      </c>
      <c r="D2" s="7" t="s">
        <v>0</v>
      </c>
      <c r="E2" s="7" t="s">
        <v>128</v>
      </c>
    </row>
    <row r="3" spans="1:5" x14ac:dyDescent="0.2">
      <c r="A3" s="26" t="s">
        <v>3</v>
      </c>
      <c r="B3" s="27" t="s">
        <v>187</v>
      </c>
      <c r="C3" s="24">
        <v>480</v>
      </c>
      <c r="D3" s="25">
        <f>C3*19%</f>
        <v>91.2</v>
      </c>
      <c r="E3" s="25">
        <f>C3+D3</f>
        <v>571.20000000000005</v>
      </c>
    </row>
    <row r="5" spans="1:5" x14ac:dyDescent="0.2">
      <c r="A5" s="28" t="s">
        <v>5</v>
      </c>
      <c r="B5" s="29" t="s">
        <v>6</v>
      </c>
      <c r="C5" s="25">
        <v>330</v>
      </c>
      <c r="D5" s="25">
        <f>C5*19%</f>
        <v>62.7</v>
      </c>
      <c r="E5" s="25">
        <f>C5+D5</f>
        <v>392.7</v>
      </c>
    </row>
    <row r="6" spans="1:5" x14ac:dyDescent="0.2">
      <c r="A6" s="28" t="s">
        <v>7</v>
      </c>
      <c r="B6" s="29" t="s">
        <v>8</v>
      </c>
      <c r="C6" s="25">
        <v>410</v>
      </c>
      <c r="D6" s="25">
        <f>C6*19%</f>
        <v>77.900000000000006</v>
      </c>
      <c r="E6" s="25">
        <f>C6+D6</f>
        <v>487.9</v>
      </c>
    </row>
    <row r="7" spans="1:5" x14ac:dyDescent="0.2">
      <c r="A7" s="28" t="s">
        <v>9</v>
      </c>
      <c r="B7" s="29" t="s">
        <v>10</v>
      </c>
      <c r="C7" s="25">
        <v>580</v>
      </c>
      <c r="D7" s="25">
        <f>C7*19%</f>
        <v>110.2</v>
      </c>
      <c r="E7" s="25">
        <f>C7+D7</f>
        <v>690.2</v>
      </c>
    </row>
    <row r="8" spans="1:5" x14ac:dyDescent="0.2">
      <c r="A8" s="28" t="s">
        <v>11</v>
      </c>
      <c r="B8" s="29" t="s">
        <v>12</v>
      </c>
      <c r="C8" s="25">
        <v>890</v>
      </c>
      <c r="D8" s="25">
        <f>C8*19%</f>
        <v>169.1</v>
      </c>
      <c r="E8" s="25">
        <f>C8+D8</f>
        <v>1059.0999999999999</v>
      </c>
    </row>
    <row r="9" spans="1:5" x14ac:dyDescent="0.2">
      <c r="A9" s="28" t="s">
        <v>13</v>
      </c>
      <c r="B9" s="29" t="s">
        <v>14</v>
      </c>
      <c r="C9" s="25">
        <v>1350</v>
      </c>
      <c r="D9" s="25">
        <f>C9*19%</f>
        <v>256.5</v>
      </c>
      <c r="E9" s="25">
        <f>C9+D9</f>
        <v>1606.5</v>
      </c>
    </row>
    <row r="10" spans="1:5" x14ac:dyDescent="0.2">
      <c r="A10" s="28" t="s">
        <v>15</v>
      </c>
      <c r="B10" s="29" t="s">
        <v>16</v>
      </c>
      <c r="C10" s="25">
        <v>1420</v>
      </c>
      <c r="D10" s="25">
        <f>C10*19%</f>
        <v>269.8</v>
      </c>
      <c r="E10" s="25">
        <f>C10+D10</f>
        <v>1689.8</v>
      </c>
    </row>
    <row r="11" spans="1:5" x14ac:dyDescent="0.2">
      <c r="A11" s="28" t="s">
        <v>17</v>
      </c>
      <c r="B11" s="29" t="s">
        <v>18</v>
      </c>
      <c r="C11" s="25">
        <v>2200</v>
      </c>
      <c r="D11" s="25">
        <f>C11*19%</f>
        <v>418</v>
      </c>
      <c r="E11" s="25">
        <f>C11+D11</f>
        <v>2618</v>
      </c>
    </row>
    <row r="12" spans="1:5" x14ac:dyDescent="0.2">
      <c r="A12" s="28" t="s">
        <v>19</v>
      </c>
      <c r="B12" s="29" t="s">
        <v>20</v>
      </c>
      <c r="C12" s="25">
        <v>2680</v>
      </c>
      <c r="D12" s="25">
        <f>C12*19%</f>
        <v>509.2</v>
      </c>
      <c r="E12" s="25">
        <f>C12+D12</f>
        <v>3189.2</v>
      </c>
    </row>
    <row r="13" spans="1:5" x14ac:dyDescent="0.2">
      <c r="A13" s="28" t="s">
        <v>21</v>
      </c>
      <c r="B13" s="29" t="s">
        <v>22</v>
      </c>
      <c r="C13" s="25">
        <v>2800</v>
      </c>
      <c r="D13" s="25">
        <f>C13*19%</f>
        <v>532</v>
      </c>
      <c r="E13" s="25">
        <f>C13+D13</f>
        <v>3332</v>
      </c>
    </row>
    <row r="14" spans="1:5" x14ac:dyDescent="0.2">
      <c r="A14" s="28" t="s">
        <v>23</v>
      </c>
      <c r="B14" s="29" t="s">
        <v>24</v>
      </c>
      <c r="C14" s="25">
        <v>3580</v>
      </c>
      <c r="D14" s="25">
        <f>C14*19%</f>
        <v>680.2</v>
      </c>
      <c r="E14" s="25">
        <f>C14+D14</f>
        <v>4260.2</v>
      </c>
    </row>
    <row r="16" spans="1:5" x14ac:dyDescent="0.2">
      <c r="A16" s="28" t="s">
        <v>25</v>
      </c>
      <c r="B16" s="29" t="s">
        <v>26</v>
      </c>
      <c r="C16" s="25">
        <v>1100</v>
      </c>
      <c r="D16" s="25">
        <f>C16*19%</f>
        <v>209</v>
      </c>
      <c r="E16" s="25">
        <f>C16+D16</f>
        <v>1309</v>
      </c>
    </row>
    <row r="17" spans="1:5" x14ac:dyDescent="0.2">
      <c r="A17" s="28" t="s">
        <v>27</v>
      </c>
      <c r="B17" s="29" t="s">
        <v>28</v>
      </c>
      <c r="C17" s="25">
        <v>1700</v>
      </c>
      <c r="D17" s="25">
        <f>C17*19%</f>
        <v>323</v>
      </c>
      <c r="E17" s="25">
        <f>C17+D17</f>
        <v>2023</v>
      </c>
    </row>
    <row r="18" spans="1:5" x14ac:dyDescent="0.2">
      <c r="A18" s="28" t="s">
        <v>29</v>
      </c>
      <c r="B18" s="29" t="s">
        <v>30</v>
      </c>
      <c r="C18" s="25">
        <v>2250</v>
      </c>
      <c r="D18" s="25">
        <f>C18*19%</f>
        <v>427.5</v>
      </c>
      <c r="E18" s="25">
        <f>C18+D18</f>
        <v>2677.5</v>
      </c>
    </row>
    <row r="19" spans="1:5" x14ac:dyDescent="0.2">
      <c r="A19" s="28" t="s">
        <v>31</v>
      </c>
      <c r="B19" s="29" t="s">
        <v>32</v>
      </c>
      <c r="C19" s="25">
        <v>2680</v>
      </c>
      <c r="D19" s="25">
        <f>C19*19%</f>
        <v>509.2</v>
      </c>
      <c r="E19" s="25">
        <f>C19+D19</f>
        <v>3189.2</v>
      </c>
    </row>
    <row r="20" spans="1:5" x14ac:dyDescent="0.2">
      <c r="A20" s="28" t="s">
        <v>33</v>
      </c>
      <c r="B20" s="29" t="s">
        <v>34</v>
      </c>
      <c r="C20" s="25">
        <v>3390</v>
      </c>
      <c r="D20" s="25">
        <f>C20*19%</f>
        <v>644.1</v>
      </c>
      <c r="E20" s="25">
        <f>C20+D20</f>
        <v>4034.1</v>
      </c>
    </row>
    <row r="21" spans="1:5" x14ac:dyDescent="0.2">
      <c r="A21" s="28" t="s">
        <v>35</v>
      </c>
      <c r="B21" s="29" t="s">
        <v>36</v>
      </c>
      <c r="C21" s="25">
        <v>4500</v>
      </c>
      <c r="D21" s="25">
        <f>C21*19%</f>
        <v>855</v>
      </c>
      <c r="E21" s="25">
        <f>C21+D21</f>
        <v>5355</v>
      </c>
    </row>
    <row r="24" spans="1:5" x14ac:dyDescent="0.2">
      <c r="A24" s="28" t="s">
        <v>37</v>
      </c>
      <c r="B24" s="29" t="s">
        <v>38</v>
      </c>
      <c r="C24" s="25">
        <v>2530</v>
      </c>
      <c r="D24" s="25">
        <f>C24*19%</f>
        <v>480.7</v>
      </c>
      <c r="E24" s="25">
        <f>C24+D24</f>
        <v>3010.7</v>
      </c>
    </row>
    <row r="25" spans="1:5" x14ac:dyDescent="0.2">
      <c r="A25" s="28" t="s">
        <v>39</v>
      </c>
      <c r="B25" s="29" t="s">
        <v>40</v>
      </c>
      <c r="C25" s="25">
        <v>3100</v>
      </c>
      <c r="D25" s="25">
        <f>C25*19%</f>
        <v>589</v>
      </c>
      <c r="E25" s="25">
        <f>C25+D25</f>
        <v>3689</v>
      </c>
    </row>
    <row r="27" spans="1:5" x14ac:dyDescent="0.2">
      <c r="A27" s="28" t="s">
        <v>41</v>
      </c>
      <c r="B27" s="29" t="s">
        <v>42</v>
      </c>
      <c r="C27" s="25">
        <v>1380</v>
      </c>
      <c r="D27" s="25">
        <f>C27*19%</f>
        <v>262.2</v>
      </c>
      <c r="E27" s="25">
        <f>C27+D27</f>
        <v>1642.2</v>
      </c>
    </row>
    <row r="29" spans="1:5" x14ac:dyDescent="0.2">
      <c r="A29" s="28" t="s">
        <v>43</v>
      </c>
      <c r="B29" s="29" t="s">
        <v>44</v>
      </c>
      <c r="C29" s="25">
        <v>1680</v>
      </c>
      <c r="D29" s="25">
        <f>C29*19%</f>
        <v>319.2</v>
      </c>
      <c r="E29" s="25">
        <f>C29+D29</f>
        <v>1999.2</v>
      </c>
    </row>
    <row r="30" spans="1:5" x14ac:dyDescent="0.2">
      <c r="A30" s="28" t="s">
        <v>45</v>
      </c>
      <c r="B30" s="29" t="s">
        <v>46</v>
      </c>
      <c r="C30" s="25">
        <v>2700</v>
      </c>
      <c r="D30" s="25">
        <f>C30*19%</f>
        <v>513</v>
      </c>
      <c r="E30" s="25">
        <f>C30+D30</f>
        <v>3213</v>
      </c>
    </row>
    <row r="31" spans="1:5" x14ac:dyDescent="0.2">
      <c r="A31" s="28" t="s">
        <v>47</v>
      </c>
      <c r="B31" s="29" t="s">
        <v>48</v>
      </c>
      <c r="C31" s="25">
        <v>3340</v>
      </c>
      <c r="D31" s="25">
        <f>C31*19%</f>
        <v>634.6</v>
      </c>
      <c r="E31" s="25">
        <f>C31+D31</f>
        <v>3974.6</v>
      </c>
    </row>
    <row r="32" spans="1:5" x14ac:dyDescent="0.2">
      <c r="A32" s="28" t="s">
        <v>49</v>
      </c>
      <c r="B32" s="29" t="s">
        <v>50</v>
      </c>
      <c r="C32" s="25">
        <v>4180</v>
      </c>
      <c r="D32" s="25">
        <f>C32*19%</f>
        <v>794.2</v>
      </c>
      <c r="E32" s="25">
        <f>C32+D32</f>
        <v>4974.2</v>
      </c>
    </row>
    <row r="33" spans="1:5" x14ac:dyDescent="0.2">
      <c r="A33" s="28" t="s">
        <v>51</v>
      </c>
      <c r="B33" s="29" t="s">
        <v>52</v>
      </c>
      <c r="C33" s="25">
        <v>4950</v>
      </c>
      <c r="D33" s="25">
        <f>C33*19%</f>
        <v>940.5</v>
      </c>
      <c r="E33" s="25">
        <f>C33+D33</f>
        <v>5890.5</v>
      </c>
    </row>
    <row r="34" spans="1:5" x14ac:dyDescent="0.2">
      <c r="A34" s="28" t="s">
        <v>53</v>
      </c>
      <c r="B34" s="29" t="s">
        <v>54</v>
      </c>
      <c r="C34" s="25">
        <v>6680</v>
      </c>
      <c r="D34" s="25">
        <f>C34*19%</f>
        <v>1269.2</v>
      </c>
      <c r="E34" s="25">
        <f>C34+D34</f>
        <v>7949.2</v>
      </c>
    </row>
    <row r="36" spans="1:5" x14ac:dyDescent="0.2">
      <c r="A36" s="28" t="s">
        <v>55</v>
      </c>
      <c r="B36" s="29" t="s">
        <v>56</v>
      </c>
      <c r="C36" s="25">
        <v>2050</v>
      </c>
      <c r="D36" s="25">
        <f>C36*19%</f>
        <v>389.5</v>
      </c>
      <c r="E36" s="25">
        <f>C36+D36</f>
        <v>2439.5</v>
      </c>
    </row>
    <row r="37" spans="1:5" x14ac:dyDescent="0.2">
      <c r="A37" s="28" t="s">
        <v>57</v>
      </c>
      <c r="B37" s="29" t="s">
        <v>58</v>
      </c>
      <c r="C37" s="25">
        <v>3200</v>
      </c>
      <c r="D37" s="25">
        <f>C37*19%</f>
        <v>608</v>
      </c>
      <c r="E37" s="25">
        <f>C37+D37</f>
        <v>3808</v>
      </c>
    </row>
    <row r="38" spans="1:5" x14ac:dyDescent="0.2">
      <c r="A38" s="28" t="s">
        <v>59</v>
      </c>
      <c r="B38" s="29" t="s">
        <v>60</v>
      </c>
      <c r="C38" s="25">
        <v>4100</v>
      </c>
      <c r="D38" s="25">
        <f>C38*19%</f>
        <v>779</v>
      </c>
      <c r="E38" s="25">
        <f>C38+D38</f>
        <v>4879</v>
      </c>
    </row>
    <row r="39" spans="1:5" x14ac:dyDescent="0.2">
      <c r="A39" s="28" t="s">
        <v>61</v>
      </c>
      <c r="B39" s="29" t="s">
        <v>62</v>
      </c>
      <c r="C39" s="25">
        <v>5150</v>
      </c>
      <c r="D39" s="25">
        <f>C39*19%</f>
        <v>978.5</v>
      </c>
      <c r="E39" s="25">
        <f>C39+D39</f>
        <v>6128.5</v>
      </c>
    </row>
    <row r="40" spans="1:5" x14ac:dyDescent="0.2">
      <c r="A40" s="28" t="s">
        <v>63</v>
      </c>
      <c r="B40" s="29" t="s">
        <v>64</v>
      </c>
      <c r="C40" s="25">
        <v>6100</v>
      </c>
      <c r="D40" s="25">
        <f>C40*19%</f>
        <v>1159</v>
      </c>
      <c r="E40" s="25">
        <f>C40+D40</f>
        <v>7259</v>
      </c>
    </row>
    <row r="42" spans="1:5" x14ac:dyDescent="0.2">
      <c r="A42" s="28" t="s">
        <v>65</v>
      </c>
      <c r="B42" s="29" t="s">
        <v>66</v>
      </c>
      <c r="C42" s="25">
        <v>2200</v>
      </c>
      <c r="D42" s="25">
        <f>C42*19%</f>
        <v>418</v>
      </c>
      <c r="E42" s="25">
        <f>C42+D42</f>
        <v>2618</v>
      </c>
    </row>
    <row r="43" spans="1:5" x14ac:dyDescent="0.2">
      <c r="A43" s="28" t="s">
        <v>67</v>
      </c>
      <c r="B43" s="29" t="s">
        <v>68</v>
      </c>
      <c r="C43" s="25">
        <v>2750</v>
      </c>
      <c r="D43" s="25">
        <f>C43*19%</f>
        <v>522.5</v>
      </c>
      <c r="E43" s="25">
        <f>C43+D43</f>
        <v>3272.5</v>
      </c>
    </row>
    <row r="44" spans="1:5" x14ac:dyDescent="0.2">
      <c r="A44" s="28" t="s">
        <v>69</v>
      </c>
      <c r="B44" s="29" t="s">
        <v>70</v>
      </c>
      <c r="C44" s="25">
        <v>4500</v>
      </c>
      <c r="D44" s="25">
        <f>C44*19%</f>
        <v>855</v>
      </c>
      <c r="E44" s="25">
        <f>C44+D44</f>
        <v>5355</v>
      </c>
    </row>
    <row r="45" spans="1:5" x14ac:dyDescent="0.2">
      <c r="A45" s="28" t="s">
        <v>71</v>
      </c>
      <c r="B45" s="29" t="s">
        <v>72</v>
      </c>
      <c r="C45" s="25">
        <v>5450</v>
      </c>
      <c r="D45" s="25">
        <f>C45*19%</f>
        <v>1035.5</v>
      </c>
      <c r="E45" s="25">
        <f>C45+D45</f>
        <v>6485.5</v>
      </c>
    </row>
    <row r="46" spans="1:5" x14ac:dyDescent="0.2">
      <c r="A46" s="28" t="s">
        <v>73</v>
      </c>
      <c r="B46" s="29" t="s">
        <v>74</v>
      </c>
      <c r="C46" s="25">
        <v>6850</v>
      </c>
      <c r="D46" s="25">
        <f>C46*19%</f>
        <v>1301.5</v>
      </c>
      <c r="E46" s="25">
        <f>C46+D46</f>
        <v>8151.5</v>
      </c>
    </row>
    <row r="47" spans="1:5" x14ac:dyDescent="0.2">
      <c r="A47" s="28" t="s">
        <v>75</v>
      </c>
      <c r="B47" s="29" t="s">
        <v>76</v>
      </c>
      <c r="C47" s="25">
        <v>8100</v>
      </c>
      <c r="D47" s="25">
        <f>C47*19%</f>
        <v>1539</v>
      </c>
      <c r="E47" s="25">
        <f>C47+D47</f>
        <v>9639</v>
      </c>
    </row>
    <row r="48" spans="1:5" x14ac:dyDescent="0.2">
      <c r="A48" s="28" t="s">
        <v>77</v>
      </c>
      <c r="B48" s="29" t="s">
        <v>78</v>
      </c>
      <c r="C48" s="25">
        <v>12100</v>
      </c>
      <c r="D48" s="25">
        <f>C48*19%</f>
        <v>2299</v>
      </c>
      <c r="E48" s="25">
        <f>C48+D48</f>
        <v>14399</v>
      </c>
    </row>
    <row r="49" spans="1:5" x14ac:dyDescent="0.2">
      <c r="A49" s="28" t="s">
        <v>79</v>
      </c>
      <c r="B49" s="29" t="s">
        <v>80</v>
      </c>
      <c r="C49" s="25">
        <v>15200</v>
      </c>
      <c r="D49" s="25">
        <f>C49*19%</f>
        <v>2888</v>
      </c>
      <c r="E49" s="25">
        <f>C49+D49</f>
        <v>18088</v>
      </c>
    </row>
    <row r="50" spans="1:5" x14ac:dyDescent="0.2">
      <c r="A50" s="28" t="s">
        <v>81</v>
      </c>
      <c r="B50" s="29" t="s">
        <v>82</v>
      </c>
      <c r="C50" s="25">
        <v>18000</v>
      </c>
      <c r="D50" s="25">
        <f>C50*19%</f>
        <v>3420</v>
      </c>
      <c r="E50" s="25">
        <f>C50+D50</f>
        <v>21420</v>
      </c>
    </row>
    <row r="51" spans="1:5" x14ac:dyDescent="0.2">
      <c r="A51" s="28" t="s">
        <v>83</v>
      </c>
      <c r="B51" s="29" t="s">
        <v>84</v>
      </c>
      <c r="C51" s="25">
        <v>20900</v>
      </c>
      <c r="D51" s="25">
        <f>C51*19%</f>
        <v>3971</v>
      </c>
      <c r="E51" s="25">
        <f>C51+D51</f>
        <v>24871</v>
      </c>
    </row>
    <row r="52" spans="1:5" x14ac:dyDescent="0.2">
      <c r="A52" s="28" t="s">
        <v>85</v>
      </c>
      <c r="B52" s="29" t="s">
        <v>86</v>
      </c>
      <c r="C52" s="25">
        <v>24200</v>
      </c>
      <c r="D52" s="25">
        <f>C52*19%</f>
        <v>4598</v>
      </c>
      <c r="E52" s="25">
        <f>C52+D52</f>
        <v>28798</v>
      </c>
    </row>
    <row r="53" spans="1:5" x14ac:dyDescent="0.2">
      <c r="A53" s="28" t="s">
        <v>87</v>
      </c>
      <c r="B53" s="29" t="s">
        <v>88</v>
      </c>
      <c r="C53" s="25">
        <v>30550</v>
      </c>
      <c r="D53" s="25">
        <f>C53*19%</f>
        <v>5804.5</v>
      </c>
      <c r="E53" s="25">
        <f>C53+D53</f>
        <v>36354.5</v>
      </c>
    </row>
    <row r="55" spans="1:5" x14ac:dyDescent="0.2">
      <c r="A55" s="28" t="s">
        <v>89</v>
      </c>
      <c r="B55" s="29" t="s">
        <v>86</v>
      </c>
      <c r="C55" s="25">
        <v>1550</v>
      </c>
      <c r="D55" s="25">
        <f>C55*19%</f>
        <v>294.5</v>
      </c>
      <c r="E55" s="25">
        <f>C55+D55</f>
        <v>1844.5</v>
      </c>
    </row>
    <row r="57" spans="1:5" x14ac:dyDescent="0.2">
      <c r="A57" s="28" t="s">
        <v>90</v>
      </c>
      <c r="B57" s="29" t="s">
        <v>88</v>
      </c>
      <c r="C57" s="25">
        <v>3450</v>
      </c>
      <c r="D57" s="25">
        <f>C57*19%</f>
        <v>655.5</v>
      </c>
      <c r="E57" s="25">
        <f>C57+D57</f>
        <v>4105.5</v>
      </c>
    </row>
    <row r="58" spans="1:5" x14ac:dyDescent="0.2">
      <c r="A58" s="28" t="s">
        <v>91</v>
      </c>
      <c r="B58" s="29" t="s">
        <v>92</v>
      </c>
      <c r="C58" s="25">
        <v>3650</v>
      </c>
      <c r="D58" s="25">
        <f>C58*19%</f>
        <v>693.5</v>
      </c>
      <c r="E58" s="25">
        <f>C58+D58</f>
        <v>4343.5</v>
      </c>
    </row>
    <row r="59" spans="1:5" x14ac:dyDescent="0.2">
      <c r="A59" s="28" t="s">
        <v>93</v>
      </c>
      <c r="B59" s="29" t="s">
        <v>94</v>
      </c>
      <c r="C59" s="25">
        <v>5480</v>
      </c>
      <c r="D59" s="25">
        <f>C59*19%</f>
        <v>1041.2</v>
      </c>
      <c r="E59" s="25">
        <f>C59+D59</f>
        <v>6521.2</v>
      </c>
    </row>
    <row r="60" spans="1:5" x14ac:dyDescent="0.2">
      <c r="A60" s="28" t="s">
        <v>95</v>
      </c>
      <c r="B60" s="29" t="s">
        <v>96</v>
      </c>
      <c r="C60" s="25">
        <v>7300</v>
      </c>
      <c r="D60" s="25">
        <f>C60*19%</f>
        <v>1387</v>
      </c>
      <c r="E60" s="25">
        <f>C60+D60</f>
        <v>8687</v>
      </c>
    </row>
    <row r="61" spans="1:5" x14ac:dyDescent="0.2">
      <c r="A61" s="28" t="s">
        <v>97</v>
      </c>
      <c r="B61" s="29" t="s">
        <v>98</v>
      </c>
      <c r="C61" s="25">
        <v>9130</v>
      </c>
      <c r="D61" s="25">
        <f>C61*19%</f>
        <v>1734.7</v>
      </c>
      <c r="E61" s="25">
        <f>C61+D61</f>
        <v>10864.7</v>
      </c>
    </row>
    <row r="62" spans="1:5" x14ac:dyDescent="0.2">
      <c r="A62" s="28" t="s">
        <v>99</v>
      </c>
      <c r="B62" s="29" t="s">
        <v>100</v>
      </c>
      <c r="C62" s="25">
        <v>10800</v>
      </c>
      <c r="D62" s="25">
        <f>C62*19%</f>
        <v>2052</v>
      </c>
      <c r="E62" s="25">
        <f>C62+D62</f>
        <v>12852</v>
      </c>
    </row>
    <row r="63" spans="1:5" x14ac:dyDescent="0.2">
      <c r="A63" s="28" t="s">
        <v>101</v>
      </c>
      <c r="B63" s="29" t="s">
        <v>102</v>
      </c>
      <c r="C63" s="25">
        <v>16050</v>
      </c>
      <c r="D63" s="25">
        <f>C63*19%</f>
        <v>3049.5</v>
      </c>
      <c r="E63" s="25">
        <f>C63+D63</f>
        <v>19099.5</v>
      </c>
    </row>
    <row r="64" spans="1:5" x14ac:dyDescent="0.2">
      <c r="A64" s="28" t="s">
        <v>103</v>
      </c>
      <c r="B64" s="29" t="s">
        <v>104</v>
      </c>
      <c r="C64" s="25">
        <v>20100</v>
      </c>
      <c r="D64" s="25">
        <f>C64*19%</f>
        <v>3819</v>
      </c>
      <c r="E64" s="25">
        <f>C64+D64</f>
        <v>23919</v>
      </c>
    </row>
    <row r="65" spans="1:5" x14ac:dyDescent="0.2">
      <c r="A65" s="28" t="s">
        <v>105</v>
      </c>
      <c r="B65" s="29" t="s">
        <v>106</v>
      </c>
      <c r="C65" s="25">
        <v>23250</v>
      </c>
      <c r="D65" s="25">
        <f>C65*19%</f>
        <v>4417.5</v>
      </c>
      <c r="E65" s="25">
        <f>C65+D65</f>
        <v>27667.5</v>
      </c>
    </row>
    <row r="66" spans="1:5" x14ac:dyDescent="0.2">
      <c r="A66" s="28" t="s">
        <v>107</v>
      </c>
      <c r="B66" s="29" t="s">
        <v>108</v>
      </c>
      <c r="C66" s="25">
        <v>32150</v>
      </c>
      <c r="D66" s="25">
        <f>C66*19%</f>
        <v>6108.5</v>
      </c>
      <c r="E66" s="25">
        <f>C66+D66</f>
        <v>38258.5</v>
      </c>
    </row>
    <row r="67" spans="1:5" x14ac:dyDescent="0.2">
      <c r="A67" s="28" t="s">
        <v>109</v>
      </c>
      <c r="B67" s="29" t="s">
        <v>110</v>
      </c>
      <c r="C67" s="25">
        <v>40000</v>
      </c>
      <c r="D67" s="25">
        <f>C67*19%</f>
        <v>7600</v>
      </c>
      <c r="E67" s="25">
        <f>C67+D67</f>
        <v>47600</v>
      </c>
    </row>
    <row r="69" spans="1:5" x14ac:dyDescent="0.2">
      <c r="A69" s="28" t="s">
        <v>111</v>
      </c>
      <c r="B69" s="29" t="s">
        <v>112</v>
      </c>
      <c r="C69" s="25">
        <v>42000</v>
      </c>
      <c r="D69" s="25">
        <f>C69*19%</f>
        <v>7980</v>
      </c>
      <c r="E69" s="25">
        <f>C69+D69</f>
        <v>49980</v>
      </c>
    </row>
    <row r="70" spans="1:5" x14ac:dyDescent="0.2">
      <c r="A70" s="28" t="s">
        <v>113</v>
      </c>
      <c r="B70" s="29" t="s">
        <v>114</v>
      </c>
      <c r="C70" s="25">
        <v>51500</v>
      </c>
      <c r="D70" s="25">
        <f>C70*19%</f>
        <v>9785</v>
      </c>
      <c r="E70" s="25">
        <f>C70+D70</f>
        <v>61285</v>
      </c>
    </row>
    <row r="72" spans="1:5" x14ac:dyDescent="0.2">
      <c r="A72" s="28" t="s">
        <v>115</v>
      </c>
      <c r="B72" s="29" t="s">
        <v>116</v>
      </c>
      <c r="C72" s="25">
        <v>6450</v>
      </c>
      <c r="D72" s="25">
        <f>C72*19%</f>
        <v>1225.5</v>
      </c>
      <c r="E72" s="25">
        <f>C72+D72</f>
        <v>7675.5</v>
      </c>
    </row>
    <row r="73" spans="1:5" x14ac:dyDescent="0.2">
      <c r="A73" s="28" t="s">
        <v>117</v>
      </c>
      <c r="B73" s="29" t="s">
        <v>118</v>
      </c>
      <c r="C73" s="25">
        <v>8800</v>
      </c>
      <c r="D73" s="25">
        <f>C73*19%</f>
        <v>1672</v>
      </c>
      <c r="E73" s="25">
        <f>C73+D73</f>
        <v>10472</v>
      </c>
    </row>
    <row r="74" spans="1:5" x14ac:dyDescent="0.2">
      <c r="A74" s="28" t="s">
        <v>119</v>
      </c>
      <c r="B74" s="29" t="s">
        <v>120</v>
      </c>
      <c r="C74" s="25">
        <v>11500</v>
      </c>
      <c r="D74" s="25">
        <f>C74*19%</f>
        <v>2185</v>
      </c>
      <c r="E74" s="25">
        <f>C74+D74</f>
        <v>13685</v>
      </c>
    </row>
    <row r="75" spans="1:5" x14ac:dyDescent="0.2">
      <c r="A75" s="28" t="s">
        <v>121</v>
      </c>
      <c r="B75" s="29" t="s">
        <v>122</v>
      </c>
      <c r="C75" s="25">
        <v>16000</v>
      </c>
      <c r="D75" s="25">
        <f>C75*19%</f>
        <v>3040</v>
      </c>
      <c r="E75" s="25">
        <f>C75+D75</f>
        <v>19040</v>
      </c>
    </row>
    <row r="76" spans="1:5" x14ac:dyDescent="0.2">
      <c r="A76" s="28" t="s">
        <v>123</v>
      </c>
      <c r="B76" s="29" t="s">
        <v>124</v>
      </c>
      <c r="C76" s="25">
        <v>17600</v>
      </c>
      <c r="D76" s="25">
        <f>C76*19%</f>
        <v>3344</v>
      </c>
      <c r="E76" s="25">
        <f>C76+D76</f>
        <v>20944</v>
      </c>
    </row>
    <row r="78" spans="1:5" x14ac:dyDescent="0.2">
      <c r="A78" s="8" t="s">
        <v>157</v>
      </c>
      <c r="B78" s="9" t="s">
        <v>125</v>
      </c>
      <c r="C78" s="10">
        <v>2200</v>
      </c>
      <c r="D78" s="25">
        <f>C78*19%</f>
        <v>418</v>
      </c>
      <c r="E78" s="25">
        <f>C78+D78</f>
        <v>2618</v>
      </c>
    </row>
    <row r="79" spans="1:5" x14ac:dyDescent="0.2">
      <c r="A79" s="8" t="s">
        <v>184</v>
      </c>
      <c r="B79" s="9" t="s">
        <v>126</v>
      </c>
      <c r="C79" s="10">
        <v>2400</v>
      </c>
      <c r="D79" s="25">
        <f>C79*19%</f>
        <v>456</v>
      </c>
      <c r="E79" s="25">
        <f>C79+D79</f>
        <v>2856</v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35D53-78CA-904B-8462-28437E62B597}">
  <dimension ref="A1:E40"/>
  <sheetViews>
    <sheetView workbookViewId="0">
      <selection sqref="A1:E1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x14ac:dyDescent="0.2">
      <c r="A1" s="30" t="s">
        <v>1</v>
      </c>
      <c r="B1" s="31"/>
      <c r="C1" s="31"/>
      <c r="D1" s="31"/>
      <c r="E1" s="32"/>
    </row>
    <row r="2" spans="1:5" x14ac:dyDescent="0.2">
      <c r="A2" s="11" t="s">
        <v>183</v>
      </c>
      <c r="B2" s="7" t="s">
        <v>2</v>
      </c>
      <c r="C2" s="7" t="s">
        <v>127</v>
      </c>
      <c r="D2" s="7" t="s">
        <v>0</v>
      </c>
      <c r="E2" s="12" t="s">
        <v>128</v>
      </c>
    </row>
    <row r="3" spans="1:5" x14ac:dyDescent="0.2">
      <c r="A3" s="13" t="s">
        <v>157</v>
      </c>
      <c r="B3" s="9" t="s">
        <v>125</v>
      </c>
      <c r="C3" s="10">
        <v>2200</v>
      </c>
      <c r="D3" s="10">
        <f>C3*19%</f>
        <v>418</v>
      </c>
      <c r="E3" s="14">
        <f>C3+D3</f>
        <v>2618</v>
      </c>
    </row>
    <row r="4" spans="1:5" x14ac:dyDescent="0.2">
      <c r="A4" s="13" t="s">
        <v>185</v>
      </c>
      <c r="B4" s="9" t="s">
        <v>126</v>
      </c>
      <c r="C4" s="10">
        <v>2400</v>
      </c>
      <c r="D4" s="10">
        <f t="shared" ref="D4:D40" si="0">C4*19%</f>
        <v>456</v>
      </c>
      <c r="E4" s="14">
        <f t="shared" ref="E4:E40" si="1">C4+D4</f>
        <v>2856</v>
      </c>
    </row>
    <row r="5" spans="1:5" x14ac:dyDescent="0.2">
      <c r="A5" s="13" t="s">
        <v>158</v>
      </c>
      <c r="B5" s="9" t="s">
        <v>4</v>
      </c>
      <c r="C5" s="10">
        <v>1850</v>
      </c>
      <c r="D5" s="10">
        <f t="shared" si="0"/>
        <v>351.5</v>
      </c>
      <c r="E5" s="14">
        <f t="shared" si="1"/>
        <v>2201.5</v>
      </c>
    </row>
    <row r="6" spans="1:5" x14ac:dyDescent="0.2">
      <c r="A6" s="13" t="s">
        <v>159</v>
      </c>
      <c r="B6" s="9" t="s">
        <v>130</v>
      </c>
      <c r="C6" s="10">
        <v>4600</v>
      </c>
      <c r="D6" s="10">
        <f t="shared" si="0"/>
        <v>874</v>
      </c>
      <c r="E6" s="14">
        <f t="shared" si="1"/>
        <v>5474</v>
      </c>
    </row>
    <row r="7" spans="1:5" x14ac:dyDescent="0.2">
      <c r="A7" s="1"/>
      <c r="B7" s="2"/>
      <c r="C7" s="2"/>
      <c r="D7" s="2"/>
      <c r="E7" s="15"/>
    </row>
    <row r="8" spans="1:5" x14ac:dyDescent="0.2">
      <c r="A8" s="16"/>
      <c r="B8" s="3"/>
      <c r="C8" s="3"/>
      <c r="D8" s="3"/>
      <c r="E8" s="17"/>
    </row>
    <row r="9" spans="1:5" x14ac:dyDescent="0.2">
      <c r="A9" s="11" t="s">
        <v>183</v>
      </c>
      <c r="B9" s="7" t="s">
        <v>2</v>
      </c>
      <c r="C9" s="7" t="s">
        <v>127</v>
      </c>
      <c r="D9" s="7" t="s">
        <v>0</v>
      </c>
      <c r="E9" s="12" t="s">
        <v>128</v>
      </c>
    </row>
    <row r="10" spans="1:5" x14ac:dyDescent="0.2">
      <c r="A10" s="13" t="s">
        <v>160</v>
      </c>
      <c r="B10" s="9" t="s">
        <v>131</v>
      </c>
      <c r="C10" s="10">
        <v>2350</v>
      </c>
      <c r="D10" s="10">
        <f t="shared" si="0"/>
        <v>446.5</v>
      </c>
      <c r="E10" s="14">
        <f t="shared" si="1"/>
        <v>2796.5</v>
      </c>
    </row>
    <row r="11" spans="1:5" x14ac:dyDescent="0.2">
      <c r="A11" s="13" t="s">
        <v>161</v>
      </c>
      <c r="B11" s="9" t="s">
        <v>132</v>
      </c>
      <c r="C11" s="10">
        <v>2830</v>
      </c>
      <c r="D11" s="10">
        <f t="shared" si="0"/>
        <v>537.70000000000005</v>
      </c>
      <c r="E11" s="14">
        <f t="shared" si="1"/>
        <v>3367.7</v>
      </c>
    </row>
    <row r="12" spans="1:5" x14ac:dyDescent="0.2">
      <c r="A12" s="13" t="s">
        <v>162</v>
      </c>
      <c r="B12" s="9" t="s">
        <v>133</v>
      </c>
      <c r="C12" s="10">
        <v>3300</v>
      </c>
      <c r="D12" s="10">
        <f t="shared" si="0"/>
        <v>627</v>
      </c>
      <c r="E12" s="14">
        <f t="shared" si="1"/>
        <v>3927</v>
      </c>
    </row>
    <row r="13" spans="1:5" x14ac:dyDescent="0.2">
      <c r="A13" s="13" t="s">
        <v>163</v>
      </c>
      <c r="B13" s="9" t="s">
        <v>134</v>
      </c>
      <c r="C13" s="10">
        <v>3850</v>
      </c>
      <c r="D13" s="10">
        <f t="shared" si="0"/>
        <v>731.5</v>
      </c>
      <c r="E13" s="14">
        <f t="shared" si="1"/>
        <v>4581.5</v>
      </c>
    </row>
    <row r="14" spans="1:5" x14ac:dyDescent="0.2">
      <c r="A14" s="1"/>
      <c r="B14" s="2"/>
      <c r="C14" s="2"/>
      <c r="D14" s="2"/>
      <c r="E14" s="15"/>
    </row>
    <row r="15" spans="1:5" x14ac:dyDescent="0.2">
      <c r="A15" s="1"/>
      <c r="B15" s="2"/>
      <c r="C15" s="2"/>
      <c r="D15" s="2"/>
      <c r="E15" s="15"/>
    </row>
    <row r="16" spans="1:5" x14ac:dyDescent="0.2">
      <c r="A16" s="11" t="s">
        <v>183</v>
      </c>
      <c r="B16" s="7" t="s">
        <v>2</v>
      </c>
      <c r="C16" s="7" t="s">
        <v>127</v>
      </c>
      <c r="D16" s="7" t="s">
        <v>0</v>
      </c>
      <c r="E16" s="12" t="s">
        <v>128</v>
      </c>
    </row>
    <row r="17" spans="1:5" x14ac:dyDescent="0.2">
      <c r="A17" s="13" t="s">
        <v>164</v>
      </c>
      <c r="B17" s="9" t="s">
        <v>135</v>
      </c>
      <c r="C17" s="10">
        <v>7810</v>
      </c>
      <c r="D17" s="10">
        <f t="shared" si="0"/>
        <v>1483.9</v>
      </c>
      <c r="E17" s="14">
        <f t="shared" si="1"/>
        <v>9293.9</v>
      </c>
    </row>
    <row r="18" spans="1:5" x14ac:dyDescent="0.2">
      <c r="A18" s="13" t="s">
        <v>165</v>
      </c>
      <c r="B18" s="9" t="s">
        <v>136</v>
      </c>
      <c r="C18" s="10">
        <v>8900</v>
      </c>
      <c r="D18" s="10">
        <f t="shared" si="0"/>
        <v>1691</v>
      </c>
      <c r="E18" s="14">
        <f t="shared" si="1"/>
        <v>10591</v>
      </c>
    </row>
    <row r="19" spans="1:5" x14ac:dyDescent="0.2">
      <c r="A19" s="13" t="s">
        <v>166</v>
      </c>
      <c r="B19" s="9" t="s">
        <v>137</v>
      </c>
      <c r="C19" s="10">
        <v>10400</v>
      </c>
      <c r="D19" s="10">
        <f t="shared" si="0"/>
        <v>1976</v>
      </c>
      <c r="E19" s="14">
        <f t="shared" si="1"/>
        <v>12376</v>
      </c>
    </row>
    <row r="20" spans="1:5" x14ac:dyDescent="0.2">
      <c r="A20" s="13" t="s">
        <v>167</v>
      </c>
      <c r="B20" s="9" t="s">
        <v>138</v>
      </c>
      <c r="C20" s="10">
        <v>12000</v>
      </c>
      <c r="D20" s="10">
        <f t="shared" si="0"/>
        <v>2280</v>
      </c>
      <c r="E20" s="14">
        <f t="shared" si="1"/>
        <v>14280</v>
      </c>
    </row>
    <row r="21" spans="1:5" x14ac:dyDescent="0.2">
      <c r="A21" s="13" t="s">
        <v>168</v>
      </c>
      <c r="B21" s="9" t="s">
        <v>139</v>
      </c>
      <c r="C21" s="10">
        <v>19300</v>
      </c>
      <c r="D21" s="10">
        <f t="shared" si="0"/>
        <v>3667</v>
      </c>
      <c r="E21" s="14">
        <f t="shared" si="1"/>
        <v>22967</v>
      </c>
    </row>
    <row r="22" spans="1:5" x14ac:dyDescent="0.2">
      <c r="A22" s="13" t="s">
        <v>169</v>
      </c>
      <c r="B22" s="9" t="s">
        <v>140</v>
      </c>
      <c r="C22" s="10">
        <v>22500</v>
      </c>
      <c r="D22" s="10">
        <f t="shared" si="0"/>
        <v>4275</v>
      </c>
      <c r="E22" s="14">
        <f t="shared" si="1"/>
        <v>26775</v>
      </c>
    </row>
    <row r="23" spans="1:5" x14ac:dyDescent="0.2">
      <c r="A23" s="13" t="s">
        <v>170</v>
      </c>
      <c r="B23" s="9" t="s">
        <v>141</v>
      </c>
      <c r="C23" s="10">
        <v>26400</v>
      </c>
      <c r="D23" s="10">
        <f t="shared" si="0"/>
        <v>5016</v>
      </c>
      <c r="E23" s="14">
        <f t="shared" si="1"/>
        <v>31416</v>
      </c>
    </row>
    <row r="24" spans="1:5" x14ac:dyDescent="0.2">
      <c r="A24" s="13" t="s">
        <v>171</v>
      </c>
      <c r="B24" s="9" t="s">
        <v>142</v>
      </c>
      <c r="C24" s="10">
        <v>28500</v>
      </c>
      <c r="D24" s="10">
        <f t="shared" si="0"/>
        <v>5415</v>
      </c>
      <c r="E24" s="14">
        <f t="shared" si="1"/>
        <v>33915</v>
      </c>
    </row>
    <row r="25" spans="1:5" x14ac:dyDescent="0.2">
      <c r="A25" s="13" t="s">
        <v>172</v>
      </c>
      <c r="B25" s="9" t="s">
        <v>143</v>
      </c>
      <c r="C25" s="10">
        <v>31680</v>
      </c>
      <c r="D25" s="10">
        <f t="shared" si="0"/>
        <v>6019.2</v>
      </c>
      <c r="E25" s="14">
        <f t="shared" si="1"/>
        <v>37699.199999999997</v>
      </c>
    </row>
    <row r="26" spans="1:5" x14ac:dyDescent="0.2">
      <c r="A26" s="13" t="s">
        <v>173</v>
      </c>
      <c r="B26" s="9" t="s">
        <v>144</v>
      </c>
      <c r="C26" s="10">
        <v>40150</v>
      </c>
      <c r="D26" s="10">
        <f t="shared" si="0"/>
        <v>7628.5</v>
      </c>
      <c r="E26" s="14">
        <f t="shared" si="1"/>
        <v>47778.5</v>
      </c>
    </row>
    <row r="27" spans="1:5" x14ac:dyDescent="0.2">
      <c r="A27" s="1"/>
      <c r="B27" s="2"/>
      <c r="C27" s="2"/>
      <c r="D27" s="2"/>
      <c r="E27" s="15"/>
    </row>
    <row r="28" spans="1:5" x14ac:dyDescent="0.2">
      <c r="A28" s="1"/>
      <c r="B28" s="2"/>
      <c r="C28" s="2"/>
      <c r="D28" s="2"/>
      <c r="E28" s="15"/>
    </row>
    <row r="29" spans="1:5" x14ac:dyDescent="0.2">
      <c r="A29" s="11" t="s">
        <v>183</v>
      </c>
      <c r="B29" s="7" t="s">
        <v>2</v>
      </c>
      <c r="C29" s="7" t="s">
        <v>127</v>
      </c>
      <c r="D29" s="7" t="s">
        <v>0</v>
      </c>
      <c r="E29" s="12" t="s">
        <v>128</v>
      </c>
    </row>
    <row r="30" spans="1:5" x14ac:dyDescent="0.2">
      <c r="A30" s="13" t="s">
        <v>174</v>
      </c>
      <c r="B30" s="9" t="s">
        <v>145</v>
      </c>
      <c r="C30" s="10">
        <v>17500</v>
      </c>
      <c r="D30" s="10">
        <f t="shared" si="0"/>
        <v>3325</v>
      </c>
      <c r="E30" s="14">
        <f t="shared" si="1"/>
        <v>20825</v>
      </c>
    </row>
    <row r="31" spans="1:5" x14ac:dyDescent="0.2">
      <c r="A31" s="13" t="s">
        <v>175</v>
      </c>
      <c r="B31" s="9" t="s">
        <v>146</v>
      </c>
      <c r="C31" s="10">
        <v>25800</v>
      </c>
      <c r="D31" s="10">
        <f t="shared" si="0"/>
        <v>4902</v>
      </c>
      <c r="E31" s="14">
        <f t="shared" si="1"/>
        <v>30702</v>
      </c>
    </row>
    <row r="32" spans="1:5" x14ac:dyDescent="0.2">
      <c r="A32" s="13" t="s">
        <v>176</v>
      </c>
      <c r="B32" s="9" t="s">
        <v>147</v>
      </c>
      <c r="C32" s="10">
        <v>29850</v>
      </c>
      <c r="D32" s="10">
        <f t="shared" si="0"/>
        <v>5671.5</v>
      </c>
      <c r="E32" s="14">
        <f t="shared" si="1"/>
        <v>35521.5</v>
      </c>
    </row>
    <row r="33" spans="1:5" x14ac:dyDescent="0.2">
      <c r="A33" s="13" t="s">
        <v>177</v>
      </c>
      <c r="B33" s="9" t="s">
        <v>148</v>
      </c>
      <c r="C33" s="10">
        <v>32890</v>
      </c>
      <c r="D33" s="10">
        <f t="shared" si="0"/>
        <v>6249.1</v>
      </c>
      <c r="E33" s="14">
        <f t="shared" si="1"/>
        <v>39139.1</v>
      </c>
    </row>
    <row r="34" spans="1:5" x14ac:dyDescent="0.2">
      <c r="A34" s="13" t="s">
        <v>178</v>
      </c>
      <c r="B34" s="9" t="s">
        <v>149</v>
      </c>
      <c r="C34" s="10">
        <v>38610</v>
      </c>
      <c r="D34" s="10">
        <f t="shared" si="0"/>
        <v>7335.9</v>
      </c>
      <c r="E34" s="14">
        <f t="shared" si="1"/>
        <v>45945.9</v>
      </c>
    </row>
    <row r="35" spans="1:5" x14ac:dyDescent="0.2">
      <c r="A35" s="13" t="s">
        <v>179</v>
      </c>
      <c r="B35" s="9" t="s">
        <v>150</v>
      </c>
      <c r="C35" s="10">
        <v>48620</v>
      </c>
      <c r="D35" s="10">
        <f t="shared" si="0"/>
        <v>9237.7999999999993</v>
      </c>
      <c r="E35" s="14">
        <f t="shared" si="1"/>
        <v>57857.8</v>
      </c>
    </row>
    <row r="36" spans="1:5" x14ac:dyDescent="0.2">
      <c r="A36" s="1"/>
      <c r="B36" s="2"/>
      <c r="C36" s="2"/>
      <c r="D36" s="2"/>
      <c r="E36" s="15"/>
    </row>
    <row r="37" spans="1:5" x14ac:dyDescent="0.2">
      <c r="A37" s="1"/>
      <c r="B37" s="2"/>
      <c r="C37" s="2"/>
      <c r="D37" s="2"/>
      <c r="E37" s="15"/>
    </row>
    <row r="38" spans="1:5" x14ac:dyDescent="0.2">
      <c r="A38" s="11" t="s">
        <v>183</v>
      </c>
      <c r="B38" s="7" t="s">
        <v>2</v>
      </c>
      <c r="C38" s="7" t="s">
        <v>127</v>
      </c>
      <c r="D38" s="7" t="s">
        <v>0</v>
      </c>
      <c r="E38" s="12" t="s">
        <v>128</v>
      </c>
    </row>
    <row r="39" spans="1:5" x14ac:dyDescent="0.2">
      <c r="A39" s="13" t="s">
        <v>180</v>
      </c>
      <c r="B39" s="9" t="s">
        <v>151</v>
      </c>
      <c r="C39" s="10">
        <v>55600</v>
      </c>
      <c r="D39" s="10">
        <f t="shared" si="0"/>
        <v>10564</v>
      </c>
      <c r="E39" s="14">
        <f t="shared" si="1"/>
        <v>66164</v>
      </c>
    </row>
    <row r="40" spans="1:5" x14ac:dyDescent="0.2">
      <c r="A40" s="13" t="s">
        <v>181</v>
      </c>
      <c r="B40" s="9" t="s">
        <v>152</v>
      </c>
      <c r="C40" s="10">
        <v>60100</v>
      </c>
      <c r="D40" s="10">
        <f t="shared" si="0"/>
        <v>11419</v>
      </c>
      <c r="E40" s="14">
        <f t="shared" si="1"/>
        <v>71519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2A60-048A-1D4F-AFCD-0AE1FF203260}">
  <dimension ref="A1:E6"/>
  <sheetViews>
    <sheetView workbookViewId="0">
      <selection sqref="A1:E1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x14ac:dyDescent="0.2">
      <c r="A1" s="33" t="s">
        <v>129</v>
      </c>
      <c r="B1" s="34"/>
      <c r="C1" s="34"/>
      <c r="D1" s="34"/>
      <c r="E1" s="35"/>
    </row>
    <row r="2" spans="1:5" x14ac:dyDescent="0.2">
      <c r="A2" s="11" t="s">
        <v>183</v>
      </c>
      <c r="B2" s="7" t="s">
        <v>2</v>
      </c>
      <c r="C2" s="7" t="s">
        <v>127</v>
      </c>
      <c r="D2" s="7" t="s">
        <v>0</v>
      </c>
      <c r="E2" s="12" t="s">
        <v>128</v>
      </c>
    </row>
    <row r="3" spans="1:5" x14ac:dyDescent="0.2">
      <c r="A3" s="13" t="s">
        <v>158</v>
      </c>
      <c r="B3" s="9" t="s">
        <v>153</v>
      </c>
      <c r="C3" s="10">
        <v>1500</v>
      </c>
      <c r="D3" s="10">
        <f>C3*19%</f>
        <v>285</v>
      </c>
      <c r="E3" s="14">
        <f>C3+D3</f>
        <v>1785</v>
      </c>
    </row>
    <row r="4" spans="1:5" x14ac:dyDescent="0.2">
      <c r="A4" s="13" t="s">
        <v>182</v>
      </c>
      <c r="B4" s="9" t="s">
        <v>154</v>
      </c>
      <c r="C4" s="10">
        <v>2600</v>
      </c>
      <c r="D4" s="10">
        <f>C4*19%</f>
        <v>494</v>
      </c>
      <c r="E4" s="14">
        <f>C4+D4</f>
        <v>3094</v>
      </c>
    </row>
    <row r="5" spans="1:5" x14ac:dyDescent="0.2">
      <c r="A5" s="13" t="s">
        <v>159</v>
      </c>
      <c r="B5" s="9" t="s">
        <v>155</v>
      </c>
      <c r="C5" s="10">
        <v>3700</v>
      </c>
      <c r="D5" s="10">
        <f>C5*19%</f>
        <v>703</v>
      </c>
      <c r="E5" s="14">
        <f>C5+D5</f>
        <v>4403</v>
      </c>
    </row>
    <row r="6" spans="1:5" ht="17" thickBot="1" x14ac:dyDescent="0.25">
      <c r="A6" s="18" t="s">
        <v>165</v>
      </c>
      <c r="B6" s="19" t="s">
        <v>156</v>
      </c>
      <c r="C6" s="20">
        <v>6500</v>
      </c>
      <c r="D6" s="20">
        <f>C6*19%</f>
        <v>1235</v>
      </c>
      <c r="E6" s="21">
        <f>C6+D6</f>
        <v>7735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2C3D-A60A-174A-9DF0-3820F7D15E9F}">
  <dimension ref="A1:E22"/>
  <sheetViews>
    <sheetView workbookViewId="0">
      <selection sqref="A1:E1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x14ac:dyDescent="0.2">
      <c r="A1" s="4" t="s">
        <v>188</v>
      </c>
      <c r="B1" s="5"/>
      <c r="C1" s="5"/>
      <c r="D1" s="5"/>
      <c r="E1" s="6"/>
    </row>
    <row r="2" spans="1:5" x14ac:dyDescent="0.2">
      <c r="A2" s="22" t="s">
        <v>183</v>
      </c>
      <c r="B2" s="22" t="s">
        <v>2</v>
      </c>
      <c r="C2" s="23" t="s">
        <v>127</v>
      </c>
      <c r="D2" s="7" t="s">
        <v>0</v>
      </c>
      <c r="E2" s="7" t="s">
        <v>128</v>
      </c>
    </row>
    <row r="3" spans="1:5" x14ac:dyDescent="0.2">
      <c r="A3" s="28" t="s">
        <v>5</v>
      </c>
      <c r="B3" s="29" t="s">
        <v>6</v>
      </c>
      <c r="C3" s="25">
        <v>330</v>
      </c>
      <c r="D3" s="25">
        <f>C3*19%</f>
        <v>62.7</v>
      </c>
      <c r="E3" s="25">
        <f>C3+D3</f>
        <v>392.7</v>
      </c>
    </row>
    <row r="4" spans="1:5" x14ac:dyDescent="0.2">
      <c r="A4" s="28" t="s">
        <v>7</v>
      </c>
      <c r="B4" s="29" t="s">
        <v>8</v>
      </c>
      <c r="C4" s="25">
        <v>410</v>
      </c>
      <c r="D4" s="25">
        <f>C4*19%</f>
        <v>77.900000000000006</v>
      </c>
      <c r="E4" s="25">
        <f>C4+D4</f>
        <v>487.9</v>
      </c>
    </row>
    <row r="6" spans="1:5" x14ac:dyDescent="0.2">
      <c r="A6" s="28" t="s">
        <v>9</v>
      </c>
      <c r="B6" s="29" t="s">
        <v>10</v>
      </c>
      <c r="C6" s="25">
        <v>580</v>
      </c>
      <c r="D6" s="25">
        <f>C6*19%</f>
        <v>110.2</v>
      </c>
      <c r="E6" s="25">
        <f>C6+D6</f>
        <v>690.2</v>
      </c>
    </row>
    <row r="7" spans="1:5" x14ac:dyDescent="0.2">
      <c r="A7" s="28" t="s">
        <v>11</v>
      </c>
      <c r="B7" s="29" t="s">
        <v>12</v>
      </c>
      <c r="C7" s="25">
        <v>890</v>
      </c>
      <c r="D7" s="25">
        <f>C7*19%</f>
        <v>169.1</v>
      </c>
      <c r="E7" s="25">
        <f>C7+D7</f>
        <v>1059.0999999999999</v>
      </c>
    </row>
    <row r="8" spans="1:5" x14ac:dyDescent="0.2">
      <c r="A8" s="28" t="s">
        <v>13</v>
      </c>
      <c r="B8" s="29" t="s">
        <v>14</v>
      </c>
      <c r="C8" s="25">
        <v>1350</v>
      </c>
      <c r="D8" s="25">
        <f>C8*19%</f>
        <v>256.5</v>
      </c>
      <c r="E8" s="25">
        <f>C8+D8</f>
        <v>1606.5</v>
      </c>
    </row>
    <row r="9" spans="1:5" x14ac:dyDescent="0.2">
      <c r="A9" s="28" t="s">
        <v>15</v>
      </c>
      <c r="B9" s="29" t="s">
        <v>16</v>
      </c>
      <c r="C9" s="25">
        <v>1420</v>
      </c>
      <c r="D9" s="25">
        <f>C9*19%</f>
        <v>269.8</v>
      </c>
      <c r="E9" s="25">
        <f>C9+D9</f>
        <v>1689.8</v>
      </c>
    </row>
    <row r="10" spans="1:5" x14ac:dyDescent="0.2">
      <c r="A10" s="28" t="s">
        <v>17</v>
      </c>
      <c r="B10" s="29" t="s">
        <v>18</v>
      </c>
      <c r="C10" s="25">
        <v>2200</v>
      </c>
      <c r="D10" s="25">
        <f>C10*19%</f>
        <v>418</v>
      </c>
      <c r="E10" s="25">
        <f>C10+D10</f>
        <v>2618</v>
      </c>
    </row>
    <row r="11" spans="1:5" x14ac:dyDescent="0.2">
      <c r="A11" s="28" t="s">
        <v>19</v>
      </c>
      <c r="B11" s="29" t="s">
        <v>20</v>
      </c>
      <c r="C11" s="25">
        <v>2680</v>
      </c>
      <c r="D11" s="25">
        <f>C11*19%</f>
        <v>509.2</v>
      </c>
      <c r="E11" s="25">
        <f>C11+D11</f>
        <v>3189.2</v>
      </c>
    </row>
    <row r="12" spans="1:5" x14ac:dyDescent="0.2">
      <c r="A12" s="28" t="s">
        <v>21</v>
      </c>
      <c r="B12" s="29" t="s">
        <v>22</v>
      </c>
      <c r="C12" s="25">
        <v>2800</v>
      </c>
      <c r="D12" s="25">
        <f>C12*19%</f>
        <v>532</v>
      </c>
      <c r="E12" s="25">
        <f>C12+D12</f>
        <v>3332</v>
      </c>
    </row>
    <row r="13" spans="1:5" x14ac:dyDescent="0.2">
      <c r="A13" s="28" t="s">
        <v>23</v>
      </c>
      <c r="B13" s="29" t="s">
        <v>24</v>
      </c>
      <c r="C13" s="25">
        <v>3580</v>
      </c>
      <c r="D13" s="25">
        <f>C13*19%</f>
        <v>680.2</v>
      </c>
      <c r="E13" s="25">
        <f>C13+D13</f>
        <v>4260.2</v>
      </c>
    </row>
    <row r="15" spans="1:5" x14ac:dyDescent="0.2">
      <c r="A15" s="28" t="s">
        <v>65</v>
      </c>
      <c r="B15" s="29" t="s">
        <v>66</v>
      </c>
      <c r="C15" s="25">
        <v>2200</v>
      </c>
      <c r="D15" s="25">
        <f>C15*19%</f>
        <v>418</v>
      </c>
      <c r="E15" s="25">
        <f>C15+D15</f>
        <v>2618</v>
      </c>
    </row>
    <row r="16" spans="1:5" x14ac:dyDescent="0.2">
      <c r="A16" s="28" t="s">
        <v>67</v>
      </c>
      <c r="B16" s="29" t="s">
        <v>68</v>
      </c>
      <c r="C16" s="25">
        <v>2750</v>
      </c>
      <c r="D16" s="25">
        <f>C16*19%</f>
        <v>522.5</v>
      </c>
      <c r="E16" s="25">
        <f>C16+D16</f>
        <v>3272.5</v>
      </c>
    </row>
    <row r="17" spans="1:5" x14ac:dyDescent="0.2">
      <c r="A17" s="28" t="s">
        <v>69</v>
      </c>
      <c r="B17" s="29" t="s">
        <v>70</v>
      </c>
      <c r="C17" s="25">
        <v>4500</v>
      </c>
      <c r="D17" s="25">
        <f>C17*19%</f>
        <v>855</v>
      </c>
      <c r="E17" s="25">
        <f>C17+D17</f>
        <v>5355</v>
      </c>
    </row>
    <row r="19" spans="1:5" x14ac:dyDescent="0.2">
      <c r="A19" s="28" t="s">
        <v>89</v>
      </c>
      <c r="B19" s="29" t="s">
        <v>86</v>
      </c>
      <c r="C19" s="25">
        <v>1550</v>
      </c>
      <c r="D19" s="25">
        <f>C19*19%</f>
        <v>294.5</v>
      </c>
      <c r="E19" s="25">
        <f>C19+D19</f>
        <v>1844.5</v>
      </c>
    </row>
    <row r="22" spans="1:5" x14ac:dyDescent="0.2">
      <c r="A22" s="26" t="s">
        <v>3</v>
      </c>
      <c r="B22" s="27" t="s">
        <v>187</v>
      </c>
      <c r="C22" s="24">
        <v>480</v>
      </c>
      <c r="D22" s="25">
        <f>C22*19%</f>
        <v>91.2</v>
      </c>
      <c r="E22" s="25">
        <f>C22+D22</f>
        <v>571.20000000000005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CONSOLIDADO</vt:lpstr>
      <vt:lpstr>VELONES</vt:lpstr>
      <vt:lpstr>DECORADOS</vt:lpstr>
      <vt:lpstr>IMPRESOS</vt:lpstr>
      <vt:lpstr>VELONES BANQUETERÍA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2026-07-14T17:58:38Z</cp:lastPrinted>
  <dcterms:created xsi:type="dcterms:W3CDTF">2024-10-21T11:30:54Z</dcterms:created>
  <dcterms:modified xsi:type="dcterms:W3CDTF">2026-07-15T12:38:49Z</dcterms:modified>
</cp:coreProperties>
</file>